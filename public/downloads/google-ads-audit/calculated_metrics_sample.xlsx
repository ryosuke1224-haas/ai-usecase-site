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b7dfef56940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b250576b2174067"/>
    <x:sheet xmlns:r="http://schemas.openxmlformats.org/officeDocument/2006/relationships" name="Calculated Metrics" sheetId="2" r:id="R5b014fa97768408e"/>
    <x:sheet xmlns:r="http://schemas.openxmlformats.org/officeDocument/2006/relationships" name="Ads Current" sheetId="3" r:id="R2399932208dc4d10"/>
    <x:sheet xmlns:r="http://schemas.openxmlformats.org/officeDocument/2006/relationships" name="Ads Previous" sheetId="4" r:id="R6c671c398a4840d4"/>
    <x:sheet xmlns:r="http://schemas.openxmlformats.org/officeDocument/2006/relationships" name="GA4 Traffic Current" sheetId="5" r:id="Rba257461a8284bd0"/>
    <x:sheet xmlns:r="http://schemas.openxmlformats.org/officeDocument/2006/relationships" name="GA4 Traffic Previous" sheetId="6" r:id="Rf326b86315054c6f"/>
    <x:sheet xmlns:r="http://schemas.openxmlformats.org/officeDocument/2006/relationships" name="GA4 Landing Current" sheetId="7" r:id="R6b9f7c5cd1c04873"/>
    <x:sheet xmlns:r="http://schemas.openxmlformats.org/officeDocument/2006/relationships" name="GA4 Landing Previous" sheetId="8" r:id="R1f55b031d6644f1f"/>
    <x:sheet xmlns:r="http://schemas.openxmlformats.org/officeDocument/2006/relationships" name="Conversion Setup" sheetId="9" r:id="R8387e9a3e9644132"/>
    <x:sheet xmlns:r="http://schemas.openxmlformats.org/officeDocument/2006/relationships" name="Read Me" sheetId="10" r:id="R7298e65acaf344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yyyy-mm-dd"/>
    <x:numFmt numFmtId="201" formatCode="$0.00"/>
    <x:numFmt numFmtId="202" formatCode="0"/>
    <x:numFmt numFmtId="203" formatCode="0.00%"/>
    <x:numFmt numFmtId="204" formatCode="0.00x"/>
    <x:numFmt numFmtId="205" formatCode="0.00"/>
    <x:numFmt numFmtId="206" formatCode="mmm d, yyyy"/>
    <x:numFmt numFmtId="207" formatCode="0.0%"/>
    <x:numFmt numFmtId="208" formatCode="mmm d"/>
  </x:numFmts>
  <x:fonts count="10">
    <x:font>
      <x:sz val="11"/>
      <x:name val="Carlito"/>
    </x:font>
    <x:font>
      <x:b/>
      <x:sz val="11"/>
      <x:color rgb="FF1F1F1F"/>
      <x:name val="Carlito"/>
    </x:font>
    <x:font>
      <x:b/>
      <x:sz val="17"/>
      <x:color rgb="FFFFFFFF"/>
      <x:name val="Carlito"/>
    </x:font>
    <x:font>
      <x:b/>
      <x:sz val="11"/>
      <x:name val="Carlito"/>
    </x:font>
    <x:font>
      <x:b/>
      <x:sz val="11"/>
      <x:color rgb="FF9C0006"/>
      <x:name val="Carlito"/>
    </x:font>
    <x:font>
      <x:b/>
      <x:sz val="11"/>
      <x:color rgb="FF7F6000"/>
      <x:name val="Carlito"/>
    </x:font>
    <x:font>
      <x:b/>
      <x:sz val="11"/>
      <x:color rgb="FF375623"/>
      <x:name val="Carlito"/>
    </x:font>
    <x:font>
      <x:b/>
      <x:sz val="11"/>
      <x:color rgb="FF17365D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left"/>
    </x:xf>
    <x:xf numFmtId="0" fontId="9" fillId="8" borderId="0" xfId="0" applyNumberFormat="1" applyFont="1" applyFill="1" applyBorder="1" applyAlignment="1">
      <x:alignment horizontal="left" vertical="center"/>
    </x:xf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horizontal="left"/>
    </x:xf>
    <x:xf numFmtId="0" fontId="9" fillId="8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0" fontId="9" fillId="8" borderId="2" xfId="0" applyNumberFormat="1" applyFont="1" applyFill="1" applyBorder="1" applyAlignment="1">
      <x:alignment horizontal="left" vertical="center"/>
    </x:xf>
    <x:xf numFmtId="0" fontId="9" fillId="8" borderId="3" xfId="0" applyNumberFormat="1" applyFont="1" applyFill="1" applyBorder="1" applyAlignment="1">
      <x:alignment horizontal="left" vertical="center"/>
    </x:xf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202" fontId="0" fillId="0" borderId="5" xfId="0" applyNumberFormat="1" applyFont="1" applyFill="1" applyBorder="1"/>
    <x:xf numFmtId="201" fontId="0" fillId="0" borderId="5" xfId="0" applyNumberFormat="1" applyFont="1" applyFill="1" applyBorder="1"/>
    <x:xf numFmtId="203" fontId="0" fillId="0" borderId="5" xfId="0" applyNumberFormat="1" applyFont="1" applyFill="1" applyBorder="1"/>
    <x:xf numFmtId="0" fontId="3" fillId="4" borderId="6" xfId="0" applyNumberFormat="1" applyFont="1" applyFill="1" applyBorder="1"/>
    <x:xf numFmtId="0" fontId="4" fillId="5" borderId="7" xfId="0" applyNumberFormat="1" applyFont="1" applyFill="1" applyBorder="1"/>
    <x:xf numFmtId="0" fontId="9" fillId="8" borderId="8" xfId="0" applyNumberFormat="1" applyFont="1" applyFill="1" applyBorder="1" applyAlignment="1">
      <x:alignment horizontal="left" vertical="center"/>
    </x:xf>
    <x:xf numFmtId="0" fontId="9" fillId="8" borderId="9" xfId="0" applyNumberFormat="1" applyFont="1" applyFill="1" applyBorder="1" applyAlignment="1">
      <x:alignment horizontal="left" vertical="center"/>
    </x:xf>
    <x:xf numFmtId="0" fontId="3" fillId="4" borderId="10" xfId="0" applyNumberFormat="1" applyFont="1" applyFill="1" applyBorder="1"/>
    <x:xf numFmtId="0" fontId="0" fillId="0" borderId="11" xfId="0" applyNumberFormat="1" applyFont="1" applyFill="1" applyBorder="1"/>
    <x:xf numFmtId="202" fontId="0" fillId="0" borderId="11" xfId="0" applyNumberFormat="1" applyFont="1" applyFill="1" applyBorder="1"/>
    <x:xf numFmtId="201" fontId="0" fillId="0" borderId="11" xfId="0" applyNumberFormat="1" applyFont="1" applyFill="1" applyBorder="1"/>
    <x:xf numFmtId="203" fontId="0" fillId="0" borderId="11" xfId="0" applyNumberFormat="1" applyFont="1" applyFill="1" applyBorder="1"/>
    <x:xf numFmtId="0" fontId="3" fillId="4" borderId="12" xfId="0" applyNumberFormat="1" applyFont="1" applyFill="1" applyBorder="1"/>
    <x:xf numFmtId="0" fontId="4" fillId="5" borderId="13" xfId="0" applyNumberFormat="1" applyFont="1" applyFill="1" applyBorder="1"/>
    <x:xf numFmtId="0" fontId="9" fillId="8" borderId="14" xfId="0" applyNumberFormat="1" applyFont="1" applyFill="1" applyBorder="1" applyAlignment="1">
      <x:alignment horizontal="left" vertical="center"/>
    </x:xf>
    <x:xf numFmtId="0" fontId="0" fillId="0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7" fillId="2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7" fillId="2" borderId="7" xfId="0" applyNumberFormat="1" applyFont="1" applyFill="1" applyBorder="1" applyAlignment="1">
      <x:alignment wrapText="1"/>
    </x:xf>
    <x:xf numFmtId="0" fontId="9" fillId="8" borderId="16" xfId="0" applyNumberFormat="1" applyFont="1" applyFill="1" applyBorder="1" applyAlignment="1">
      <x:alignment horizontal="left" vertical="center"/>
    </x:xf>
    <x:xf numFmtId="0" fontId="0" fillId="0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7" fillId="2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7" fillId="2" borderId="1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204" fontId="0" fillId="0" borderId="15" xfId="0" applyNumberFormat="1" applyFont="1" applyFill="1" applyBorder="1" applyAlignment="1">
      <x:alignment wrapText="1"/>
    </x:xf>
    <x:xf numFmtId="207" fontId="0" fillId="0" borderId="15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16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204" fontId="0" fillId="0" borderId="17" xfId="0" applyNumberFormat="1" applyFont="1" applyFill="1" applyBorder="1" applyAlignment="1">
      <x:alignment wrapText="1"/>
    </x:xf>
    <x:xf numFmtId="207" fontId="0" fillId="0" borderId="17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5" fontId="0" fillId="0" borderId="5" xfId="0" applyNumberFormat="1" applyFont="1" applyFill="1" applyBorder="1"/>
    <x:xf numFmtId="206" fontId="0" fillId="0" borderId="7" xfId="0" applyNumberFormat="1" applyFont="1" applyFill="1" applyBorder="1"/>
    <x:xf numFmtId="205" fontId="0" fillId="0" borderId="11" xfId="0" applyNumberFormat="1" applyFont="1" applyFill="1" applyBorder="1"/>
    <x:xf numFmtId="206" fontId="0" fillId="0" borderId="13" xfId="0" applyNumberFormat="1" applyFont="1" applyFill="1" applyBorder="1"/>
    <x:xf numFmtId="0" fontId="6" fillId="7" borderId="15" xfId="0" applyNumberFormat="1" applyFont="1" applyFill="1" applyBorder="1" applyAlignment="1">
      <x:alignment wrapText="1"/>
    </x:xf>
    <x:xf numFmtId="0" fontId="6" fillId="7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066b4c6f6b4ae1" /><Relationship Type="http://schemas.openxmlformats.org/officeDocument/2006/relationships/theme" Target="/xl/theme/theme1.xml" Id="R7743808095a844b8" /><Relationship Type="http://schemas.openxmlformats.org/officeDocument/2006/relationships/sharedStrings" Target="/xl/sharedStrings.xml" Id="R6afc0d13711d4424" /><Relationship Type="http://schemas.openxmlformats.org/officeDocument/2006/relationships/worksheet" Target="/xl/worksheets/sheet1.xml" Id="R1b250576b2174067" /><Relationship Type="http://schemas.openxmlformats.org/officeDocument/2006/relationships/worksheet" Target="/xl/worksheets/sheet2.xml" Id="R5b014fa97768408e" /><Relationship Type="http://schemas.openxmlformats.org/officeDocument/2006/relationships/worksheet" Target="/xl/worksheets/sheet3.xml" Id="R2399932208dc4d10" /><Relationship Type="http://schemas.openxmlformats.org/officeDocument/2006/relationships/worksheet" Target="/xl/worksheets/sheet4.xml" Id="R6c671c398a4840d4" /><Relationship Type="http://schemas.openxmlformats.org/officeDocument/2006/relationships/worksheet" Target="/xl/worksheets/sheet5.xml" Id="Rba257461a8284bd0" /><Relationship Type="http://schemas.openxmlformats.org/officeDocument/2006/relationships/worksheet" Target="/xl/worksheets/sheet6.xml" Id="Rf326b86315054c6f" /><Relationship Type="http://schemas.openxmlformats.org/officeDocument/2006/relationships/worksheet" Target="/xl/worksheets/sheet7.xml" Id="R6b9f7c5cd1c04873" /><Relationship Type="http://schemas.openxmlformats.org/officeDocument/2006/relationships/worksheet" Target="/xl/worksheets/sheet8.xml" Id="R1f55b031d6644f1f" /><Relationship Type="http://schemas.openxmlformats.org/officeDocument/2006/relationships/worksheet" Target="/xl/worksheets/sheet9.xml" Id="R8387e9a3e9644132" /><Relationship Type="http://schemas.openxmlformats.org/officeDocument/2006/relationships/worksheet" Target="/xl/worksheets/sheet10.xml" Id="R7298e65acaf344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362388803742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clicks vs. reported conversions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Clicks</c:v>
          </c:tx>
          <c:cat>
            <c:strRef>
              <c:f>'Dashboard'!$J$23:$J$52</c:f>
              <c:strCache>
                <c:ptCount val="0"/>
              </c:strCache>
            </c:strRef>
          </c:cat>
          <c:val>
            <c:numRef>
              <c:f>'Dashboard'!$K$23:$K$52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Reported conversions</c:v>
          </c:tx>
          <c:cat>
            <c:strRef>
              <c:f>'Dashboard'!$J$23:$J$52</c:f>
              <c:strCache>
                <c:ptCount val="0"/>
              </c:strCache>
            </c:strRef>
          </c:cat>
          <c:val>
            <c:numRef>
              <c:f>'Dashboard'!$L$23:$L$52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3623888037422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dsCurrentTable" displayName="AdsCurrentTable" ref="A1:Q61" headerRowCount="1">
  <x:tableColumns count="17">
    <x:tableColumn id="1" name="Date"/>
    <x:tableColumn id="2" name="Campaign"/>
    <x:tableColumn id="3" name="Campaign Status"/>
    <x:tableColumn id="4" name="Campaign Type"/>
    <x:tableColumn id="5" name="Budget"/>
    <x:tableColumn id="6" name="Currency"/>
    <x:tableColumn id="7" name="Impressions"/>
    <x:tableColumn id="8" name="Clicks"/>
    <x:tableColumn id="9" name="Cost"/>
    <x:tableColumn id="10" name="Reported Conversions"/>
    <x:tableColumn id="11" name="Reported Value"/>
    <x:tableColumn id="12" name="Goal"/>
    <x:tableColumn id="13" name="CTR"/>
    <x:tableColumn id="14" name="Reported CVR"/>
    <x:tableColumn id="15" name="Avg CPC"/>
    <x:tableColumn id="16" name="Reported CPA"/>
    <x:tableColumn id="17" name="Reported ROAS"/>
  </x:tableColumns>
  <x:tableStyleInfo name="TableStyleMedium2" showRowStripes="1"/>
</x:table>
</file>

<file path=xl/tables/table2.xml><?xml version="1.0" encoding="utf-8"?>
<x:table xmlns:x="http://schemas.openxmlformats.org/spreadsheetml/2006/main" id="2" name="AdsPreviousTable" displayName="AdsPreviousTable" ref="A1:Q61" headerRowCount="1">
  <x:tableColumns count="17">
    <x:tableColumn id="1" name="Date"/>
    <x:tableColumn id="2" name="Campaign"/>
    <x:tableColumn id="3" name="Campaign Status"/>
    <x:tableColumn id="4" name="Campaign Type"/>
    <x:tableColumn id="5" name="Budget"/>
    <x:tableColumn id="6" name="Currency"/>
    <x:tableColumn id="7" name="Impressions"/>
    <x:tableColumn id="8" name="Clicks"/>
    <x:tableColumn id="9" name="Cost"/>
    <x:tableColumn id="10" name="Reported Conversions"/>
    <x:tableColumn id="11" name="Reported Value"/>
    <x:tableColumn id="12" name="Goal"/>
    <x:tableColumn id="13" name="CTR"/>
    <x:tableColumn id="14" name="Reported CVR"/>
    <x:tableColumn id="15" name="Avg CPC"/>
    <x:tableColumn id="16" name="Reported CPA"/>
    <x:tableColumn id="17" name="Reported ROAS"/>
  </x:tableColumns>
  <x:tableStyleInfo name="TableStyleMedium2" showRowStripes="1"/>
</x:table>
</file>

<file path=xl/tables/table3.xml><?xml version="1.0" encoding="utf-8"?>
<x:table xmlns:x="http://schemas.openxmlformats.org/spreadsheetml/2006/main" id="3" name="GA4TrafficCurrentTable" displayName="GA4TrafficCurrentTable" ref="A1:J5" headerRowCount="1">
  <x:tableColumns count="10">
    <x:tableColumn id="1" name="Session Source / Medium"/>
    <x:tableColumn id="2" name="Sessions"/>
    <x:tableColumn id="3" name="Engaged Sessions"/>
    <x:tableColumn id="4" name="Engagement Rate"/>
    <x:tableColumn id="5" name="Avg Engagement Time / Session"/>
    <x:tableColumn id="6" name="Events / Session"/>
    <x:tableColumn id="7" name="Event Count"/>
    <x:tableColumn id="8" name="Key Events"/>
    <x:tableColumn id="9" name="Session Key Event Rate"/>
    <x:tableColumn id="10" name="Total Revenue"/>
  </x:tableColumns>
  <x:tableStyleInfo name="TableStyleMedium2" showRowStripes="1"/>
</x:table>
</file>

<file path=xl/tables/table4.xml><?xml version="1.0" encoding="utf-8"?>
<x:table xmlns:x="http://schemas.openxmlformats.org/spreadsheetml/2006/main" id="4" name="GA4TrafficPreviousTable" displayName="GA4TrafficPreviousTable" ref="A1:J5" headerRowCount="1">
  <x:tableColumns count="10">
    <x:tableColumn id="1" name="Session Source / Medium"/>
    <x:tableColumn id="2" name="Sessions"/>
    <x:tableColumn id="3" name="Engaged Sessions"/>
    <x:tableColumn id="4" name="Engagement Rate"/>
    <x:tableColumn id="5" name="Avg Engagement Time / Session"/>
    <x:tableColumn id="6" name="Events / Session"/>
    <x:tableColumn id="7" name="Event Count"/>
    <x:tableColumn id="8" name="Key Events"/>
    <x:tableColumn id="9" name="Session Key Event Rate"/>
    <x:tableColumn id="10" name="Total Revenue"/>
  </x:tableColumns>
  <x:tableStyleInfo name="TableStyleMedium2" showRowStripes="1"/>
</x:table>
</file>

<file path=xl/tables/table5.xml><?xml version="1.0" encoding="utf-8"?>
<x:table xmlns:x="http://schemas.openxmlformats.org/spreadsheetml/2006/main" id="5" name="LandingCurrentTable" displayName="LandingCurrentTable" ref="A1:H5" headerRowCount="1">
  <x:tableColumns count="8">
    <x:tableColumn id="1" name="Landing Page"/>
    <x:tableColumn id="2" name="Sessions"/>
    <x:tableColumn id="3" name="Active Users"/>
    <x:tableColumn id="4" name="New Users"/>
    <x:tableColumn id="5" name="Avg Engagement Time / Session"/>
    <x:tableColumn id="6" name="Key Events"/>
    <x:tableColumn id="7" name="Total Revenue"/>
    <x:tableColumn id="8" name="Session Key Event Rate"/>
  </x:tableColumns>
  <x:tableStyleInfo name="TableStyleMedium2" showRowStripes="1"/>
</x:table>
</file>

<file path=xl/tables/table6.xml><?xml version="1.0" encoding="utf-8"?>
<x:table xmlns:x="http://schemas.openxmlformats.org/spreadsheetml/2006/main" id="6" name="LandingPreviousTable" displayName="LandingPreviousTable" ref="A1:H5" headerRowCount="1">
  <x:tableColumns count="8">
    <x:tableColumn id="1" name="Landing Page"/>
    <x:tableColumn id="2" name="Sessions"/>
    <x:tableColumn id="3" name="Active Users"/>
    <x:tableColumn id="4" name="New Users"/>
    <x:tableColumn id="5" name="Avg Engagement Time / Session"/>
    <x:tableColumn id="6" name="Key Events"/>
    <x:tableColumn id="7" name="Total Revenue"/>
    <x:tableColumn id="8" name="Session Key Event R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e594731f9a41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e95224ba2c94e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2ea7edb8ff84e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d679493765a4a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a318da9831149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584ece0bf9a4e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c987cbf544146bc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4" max="4" width="22" hidden="0" customWidth="1"/>
    <x:col min="5" max="5" width="18" hidden="0" customWidth="1"/>
    <x:col min="6" max="6" width="39" hidden="0" customWidth="1"/>
    <x:col min="7" max="7" width="43" hidden="0" customWidth="1"/>
    <x:col min="8" max="8" width="12" hidden="0" customWidth="1"/>
    <x:col min="10" max="10" width="12" hidden="0" customWidth="1"/>
    <x:col min="11" max="11" width="12" hidden="0" customWidth="1"/>
    <x:col min="12" max="12" width="20" hidden="0" customWidth="1"/>
  </x:cols>
  <x:sheetData>
    <x:row r="1" ht="28" customHeight="1">
      <x:c r="A1" s="27" t="str">
        <x:v>Google Ads + GA4 Audit - Fictional Sample</x:v>
      </x:c>
      <x:c r="B1" s="27"/>
      <x:c r="C1" s="27"/>
      <x:c r="D1" s="27"/>
      <x:c r="E1" s="27"/>
      <x:c r="F1" s="27"/>
      <x:c r="G1" s="27"/>
      <x:c r="H1" s="27"/>
    </x:row>
    <x:row r="2">
      <x:c r="A2" s="78" t="str">
        <x:v>Sample data only. This illustrates the workbook a file-capable AI assistant should create.</x:v>
      </x:c>
      <x:c r="B2" s="78"/>
      <x:c r="C2" s="78"/>
      <x:c r="D2" s="78"/>
      <x:c r="E2" s="78"/>
      <x:c r="F2" s="78"/>
      <x:c r="G2" s="78"/>
      <x:c r="H2" s="78"/>
    </x:row>
    <x:row r="4">
      <x:c r="A4" s="98" t="str">
        <x:v>KPI</x:v>
      </x:c>
      <x:c r="B4" s="99" t="str">
        <x:v>Current value</x:v>
      </x:c>
      <x:c r="D4" s="98" t="str">
        <x:v>Finding</x:v>
      </x:c>
      <x:c r="E4" s="116" t="str">
        <x:v>Observed</x:v>
      </x:c>
      <x:c r="F4" s="116" t="str">
        <x:v>Risk</x:v>
      </x:c>
      <x:c r="G4" s="116" t="str">
        <x:v>Next step</x:v>
      </x:c>
      <x:c r="H4" s="99" t="str">
        <x:v>Priority</x:v>
      </x:c>
    </x:row>
    <x:row r="5">
      <x:c r="A5" s="100" t="str">
        <x:v>Date range</x:v>
      </x:c>
      <x:c r="B5" s="101" t="str">
        <x:f>"Jul 1-30, 2026"</x:f>
        <x:v>Jul 1-30, 2026</x:v>
      </x:c>
      <x:c r="D5" s="117" t="str">
        <x:v>Primary conversion</x:v>
      </x:c>
      <x:c r="E5" s="50" t="str">
        <x:v>Page view</x:v>
      </x:c>
      <x:c r="F5" s="50" t="str">
        <x:v>Smart Bidding can optimize visits instead of estimate requests.</x:v>
      </x:c>
      <x:c r="G5" s="50" t="str">
        <x:v>Create and test a meaningful lead key event, then use it as Primary.</x:v>
      </x:c>
      <x:c r="H5" s="118" t="str">
        <x:v>Critical</x:v>
      </x:c>
    </x:row>
    <x:row r="6">
      <x:c r="A6" s="100" t="str">
        <x:v>Impressions</x:v>
      </x:c>
      <x:c r="B6" s="102" t="n">
        <x:f>'Calculated Metrics'!B6</x:f>
        <x:v>23257</x:v>
      </x:c>
      <x:c r="D6" s="117" t="str">
        <x:v>GA4 paid outcomes</x:v>
      </x:c>
      <x:c r="E6" s="50" t="str">
        <x:v>0 key events</x:v>
      </x:c>
      <x:c r="F6" s="50" t="str">
        <x:v>No reliable qualified-lead measurement.</x:v>
      </x:c>
      <x:c r="G6" s="50" t="str">
        <x:v>Configure form-submit key event and validate with Tag Assistant/DebugView.</x:v>
      </x:c>
      <x:c r="H6" s="118" t="str">
        <x:v>Critical</x:v>
      </x:c>
    </x:row>
    <x:row r="7">
      <x:c r="A7" s="100" t="str">
        <x:v>Clicks</x:v>
      </x:c>
      <x:c r="B7" s="102" t="n">
        <x:f>'Calculated Metrics'!B7</x:f>
        <x:v>1682</x:v>
      </x:c>
      <x:c r="D7" s="117" t="str">
        <x:v>Reported CVR</x:v>
      </x:c>
      <x:c r="E7" s="50" t="str">
        <x:v>100%</x:v>
      </x:c>
      <x:c r="F7" s="50" t="str">
        <x:v>The rate is not a business conversion rate.</x:v>
      </x:c>
      <x:c r="G7" s="50" t="str">
        <x:v>Do not use current CPA or ROAS for performance decisions.</x:v>
      </x:c>
      <x:c r="H7" s="119" t="str">
        <x:v>High</x:v>
      </x:c>
    </x:row>
    <x:row r="8">
      <x:c r="A8" s="100" t="str">
        <x:v>Cost</x:v>
      </x:c>
      <x:c r="B8" s="103" t="n">
        <x:f>'Calculated Metrics'!B8</x:f>
        <x:v>5534.189999999999</x:v>
      </x:c>
      <x:c r="D8" s="117" t="str">
        <x:v>Search-term waste</x:v>
      </x:c>
      <x:c r="E8" s="50" t="str">
        <x:v>Employment/training intent appears</x:v>
      </x:c>
      <x:c r="F8" s="50" t="str">
        <x:v>Spend may be reaching non-customer searches.</x:v>
      </x:c>
      <x:c r="G8" s="50" t="str">
        <x:v>Review negatives only after meaningful conversion tracking is fixed.</x:v>
      </x:c>
      <x:c r="H8" s="120" t="str">
        <x:v>Medium</x:v>
      </x:c>
    </x:row>
    <x:row r="9">
      <x:c r="A9" s="100" t="str">
        <x:v>Reported conversions</x:v>
      </x:c>
      <x:c r="B9" s="102" t="n">
        <x:f>'Calculated Metrics'!B9</x:f>
        <x:v>1682</x:v>
      </x:c>
      <x:c r="D9" s="121" t="str">
        <x:v>Landing-page analysis</x:v>
      </x:c>
      <x:c r="E9" s="122" t="str">
        <x:v>Paid filter documented</x:v>
      </x:c>
      <x:c r="F9" s="122" t="str">
        <x:v>Engagement can be reviewed, but outcome quality is unavailable.</x:v>
      </x:c>
      <x:c r="G9" s="122" t="str">
        <x:v>Re-export after key events are recording.</x:v>
      </x:c>
      <x:c r="H9" s="123" t="str">
        <x:v>Medium</x:v>
      </x:c>
    </x:row>
    <x:row r="10">
      <x:c r="A10" s="100" t="str">
        <x:v>Reported conversion rate</x:v>
      </x:c>
      <x:c r="B10" s="104" t="n">
        <x:f>'Calculated Metrics'!B13</x:f>
        <x:v>1</x:v>
      </x:c>
    </x:row>
    <x:row r="11">
      <x:c r="A11" s="100" t="str">
        <x:v>GA4 paid key events</x:v>
      </x:c>
      <x:c r="B11" s="102" t="n">
        <x:f>0</x:f>
        <x:v>0</x:v>
      </x:c>
    </x:row>
    <x:row r="12">
      <x:c r="A12" s="105" t="str">
        <x:v>Tracking readiness</x:v>
      </x:c>
      <x:c r="B12" s="106" t="str">
        <x:f>"MEASUREMENT REVIEW FIRST"</x:f>
        <x:v>MEASUREMENT REVIEW FIRST</x:v>
      </x:c>
    </x:row>
    <x:row r="15">
      <x:c r="A15" s="83" t="str">
        <x:v>Audit conclusion</x:v>
      </x:c>
      <x:c r="B15" s="83"/>
      <x:c r="C15" s="83"/>
      <x:c r="D15" s="83"/>
      <x:c r="E15" s="83"/>
      <x:c r="F15" s="83"/>
      <x:c r="G15" s="83"/>
      <x:c r="H15" s="83"/>
    </x:row>
    <x:row r="16">
      <x:c r="A16" s="94" t="str">
        <x:v>The exports are sufficient to calculate traffic and spend, but not business performance. Google Ads reports page views as Primary conversions while GA4 shows zero paid-traffic key events. Classify this run as MEASUREMENT REVIEW FIRST. Fix and test the qualified-lead event before changing budgets or bidding.</x:v>
      </x:c>
      <x:c r="B16" s="94"/>
      <x:c r="C16" s="94"/>
      <x:c r="D16" s="94"/>
      <x:c r="E16" s="94"/>
      <x:c r="F16" s="94"/>
      <x:c r="G16" s="94"/>
      <x:c r="H16" s="94"/>
    </x:row>
    <x:row r="17">
      <x:c r="A17" s="94"/>
      <x:c r="B17" s="94"/>
      <x:c r="C17" s="94"/>
      <x:c r="D17" s="94"/>
      <x:c r="E17" s="94"/>
      <x:c r="F17" s="94"/>
      <x:c r="G17" s="94"/>
      <x:c r="H17" s="94"/>
    </x:row>
    <x:row r="18">
      <x:c r="A18" s="94"/>
      <x:c r="B18" s="94"/>
      <x:c r="C18" s="94"/>
      <x:c r="D18" s="94"/>
      <x:c r="E18" s="94"/>
      <x:c r="F18" s="94"/>
      <x:c r="G18" s="94"/>
      <x:c r="H18" s="94"/>
    </x:row>
    <x:row r="19">
      <x:c r="A19" s="94"/>
      <x:c r="B19" s="94"/>
      <x:c r="C19" s="94"/>
      <x:c r="D19" s="94"/>
      <x:c r="E19" s="94"/>
      <x:c r="F19" s="94"/>
      <x:c r="G19" s="94"/>
      <x:c r="H19" s="94"/>
    </x:row>
    <x:row r="22">
      <x:c r="J22" s="6" t="str">
        <x:v>Date</x:v>
      </x:c>
      <x:c r="K22" s="6" t="str">
        <x:v>Clicks</x:v>
      </x:c>
      <x:c r="L22" s="6" t="str">
        <x:v>Reported conversions</x:v>
      </x:c>
    </x:row>
    <x:row r="23">
      <x:c r="J23" s="96" t="n">
        <x:v>46204</x:v>
      </x:c>
      <x:c r="K23" t="n">
        <x:v>55</x:v>
      </x:c>
      <x:c r="L23" t="n">
        <x:v>55</x:v>
      </x:c>
    </x:row>
    <x:row r="24">
      <x:c r="J24" s="96" t="n">
        <x:v>46205</x:v>
      </x:c>
      <x:c r="K24" t="n">
        <x:v>57</x:v>
      </x:c>
      <x:c r="L24" t="n">
        <x:v>57</x:v>
      </x:c>
    </x:row>
    <x:row r="25">
      <x:c r="J25" s="96" t="n">
        <x:v>46206</x:v>
      </x:c>
      <x:c r="K25" t="n">
        <x:v>64</x:v>
      </x:c>
      <x:c r="L25" t="n">
        <x:v>64</x:v>
      </x:c>
    </x:row>
    <x:row r="26">
      <x:c r="J26" s="96" t="n">
        <x:v>46207</x:v>
      </x:c>
      <x:c r="K26" t="n">
        <x:v>46</x:v>
      </x:c>
      <x:c r="L26" t="n">
        <x:v>46</x:v>
      </x:c>
    </x:row>
    <x:row r="27">
      <x:c r="J27" s="96" t="n">
        <x:v>46208</x:v>
      </x:c>
      <x:c r="K27" t="n">
        <x:v>47</x:v>
      </x:c>
      <x:c r="L27" t="n">
        <x:v>47</x:v>
      </x:c>
    </x:row>
    <x:row r="28">
      <x:c r="J28" s="96" t="n">
        <x:v>46209</x:v>
      </x:c>
      <x:c r="K28" t="n">
        <x:v>70</x:v>
      </x:c>
      <x:c r="L28" t="n">
        <x:v>70</x:v>
      </x:c>
    </x:row>
    <x:row r="29">
      <x:c r="J29" s="96" t="n">
        <x:v>46210</x:v>
      </x:c>
      <x:c r="K29" t="n">
        <x:v>61</x:v>
      </x:c>
      <x:c r="L29" t="n">
        <x:v>61</x:v>
      </x:c>
    </x:row>
    <x:row r="30">
      <x:c r="J30" s="96" t="n">
        <x:v>46211</x:v>
      </x:c>
      <x:c r="K30" t="n">
        <x:v>64</x:v>
      </x:c>
      <x:c r="L30" t="n">
        <x:v>64</x:v>
      </x:c>
    </x:row>
    <x:row r="31">
      <x:c r="J31" s="96" t="n">
        <x:v>46212</x:v>
      </x:c>
      <x:c r="K31" t="n">
        <x:v>70</x:v>
      </x:c>
      <x:c r="L31" t="n">
        <x:v>70</x:v>
      </x:c>
    </x:row>
    <x:row r="32">
      <x:c r="J32" s="96" t="n">
        <x:v>46213</x:v>
      </x:c>
      <x:c r="K32" t="n">
        <x:v>58</x:v>
      </x:c>
      <x:c r="L32" t="n">
        <x:v>58</x:v>
      </x:c>
    </x:row>
    <x:row r="33">
      <x:c r="J33" s="96" t="n">
        <x:v>46214</x:v>
      </x:c>
      <x:c r="K33" t="n">
        <x:v>48</x:v>
      </x:c>
      <x:c r="L33" t="n">
        <x:v>48</x:v>
      </x:c>
    </x:row>
    <x:row r="34">
      <x:c r="J34" s="96" t="n">
        <x:v>46215</x:v>
      </x:c>
      <x:c r="K34" t="n">
        <x:v>45</x:v>
      </x:c>
      <x:c r="L34" t="n">
        <x:v>45</x:v>
      </x:c>
    </x:row>
    <x:row r="35">
      <x:c r="J35" s="96" t="n">
        <x:v>46216</x:v>
      </x:c>
      <x:c r="K35" t="n">
        <x:v>64</x:v>
      </x:c>
      <x:c r="L35" t="n">
        <x:v>64</x:v>
      </x:c>
    </x:row>
    <x:row r="36">
      <x:c r="J36" s="96" t="n">
        <x:v>46217</x:v>
      </x:c>
      <x:c r="K36" t="n">
        <x:v>59</x:v>
      </x:c>
      <x:c r="L36" t="n">
        <x:v>59</x:v>
      </x:c>
    </x:row>
    <x:row r="37">
      <x:c r="J37" s="96" t="n">
        <x:v>46218</x:v>
      </x:c>
      <x:c r="K37" t="n">
        <x:v>58</x:v>
      </x:c>
      <x:c r="L37" t="n">
        <x:v>58</x:v>
      </x:c>
    </x:row>
    <x:row r="38">
      <x:c r="J38" s="96" t="n">
        <x:v>46219</x:v>
      </x:c>
      <x:c r="K38" t="n">
        <x:v>55</x:v>
      </x:c>
      <x:c r="L38" t="n">
        <x:v>55</x:v>
      </x:c>
    </x:row>
    <x:row r="39">
      <x:c r="J39" s="96" t="n">
        <x:v>46220</x:v>
      </x:c>
      <x:c r="K39" t="n">
        <x:v>63</x:v>
      </x:c>
      <x:c r="L39" t="n">
        <x:v>63</x:v>
      </x:c>
    </x:row>
    <x:row r="40">
      <x:c r="J40" s="96" t="n">
        <x:v>46221</x:v>
      </x:c>
      <x:c r="K40" t="n">
        <x:v>36</x:v>
      </x:c>
      <x:c r="L40" t="n">
        <x:v>36</x:v>
      </x:c>
    </x:row>
    <x:row r="41">
      <x:c r="J41" s="96" t="n">
        <x:v>46222</x:v>
      </x:c>
      <x:c r="K41" t="n">
        <x:v>39</x:v>
      </x:c>
      <x:c r="L41" t="n">
        <x:v>39</x:v>
      </x:c>
    </x:row>
    <x:row r="42">
      <x:c r="J42" s="96" t="n">
        <x:v>46223</x:v>
      </x:c>
      <x:c r="K42" t="n">
        <x:v>54</x:v>
      </x:c>
      <x:c r="L42" t="n">
        <x:v>54</x:v>
      </x:c>
    </x:row>
    <x:row r="43">
      <x:c r="J43" s="96" t="n">
        <x:v>46224</x:v>
      </x:c>
      <x:c r="K43" t="n">
        <x:v>51</x:v>
      </x:c>
      <x:c r="L43" t="n">
        <x:v>51</x:v>
      </x:c>
    </x:row>
    <x:row r="44">
      <x:c r="J44" s="96" t="n">
        <x:v>46225</x:v>
      </x:c>
      <x:c r="K44" t="n">
        <x:v>52</x:v>
      </x:c>
      <x:c r="L44" t="n">
        <x:v>52</x:v>
      </x:c>
    </x:row>
    <x:row r="45">
      <x:c r="J45" s="96" t="n">
        <x:v>46226</x:v>
      </x:c>
      <x:c r="K45" t="n">
        <x:v>58</x:v>
      </x:c>
      <x:c r="L45" t="n">
        <x:v>58</x:v>
      </x:c>
    </x:row>
    <x:row r="46">
      <x:c r="J46" s="96" t="n">
        <x:v>46227</x:v>
      </x:c>
      <x:c r="K46" t="n">
        <x:v>63</x:v>
      </x:c>
      <x:c r="L46" t="n">
        <x:v>63</x:v>
      </x:c>
    </x:row>
    <x:row r="47">
      <x:c r="J47" s="96" t="n">
        <x:v>46228</x:v>
      </x:c>
      <x:c r="K47" t="n">
        <x:v>39</x:v>
      </x:c>
      <x:c r="L47" t="n">
        <x:v>39</x:v>
      </x:c>
    </x:row>
    <x:row r="48">
      <x:c r="J48" s="96" t="n">
        <x:v>46229</x:v>
      </x:c>
      <x:c r="K48" t="n">
        <x:v>44</x:v>
      </x:c>
      <x:c r="L48" t="n">
        <x:v>44</x:v>
      </x:c>
    </x:row>
    <x:row r="49">
      <x:c r="J49" s="96" t="n">
        <x:v>46230</x:v>
      </x:c>
      <x:c r="K49" t="n">
        <x:v>64</x:v>
      </x:c>
      <x:c r="L49" t="n">
        <x:v>64</x:v>
      </x:c>
    </x:row>
    <x:row r="50">
      <x:c r="J50" s="96" t="n">
        <x:v>46231</x:v>
      </x:c>
      <x:c r="K50" t="n">
        <x:v>63</x:v>
      </x:c>
      <x:c r="L50" t="n">
        <x:v>63</x:v>
      </x:c>
    </x:row>
    <x:row r="51">
      <x:c r="J51" s="96" t="n">
        <x:v>46232</x:v>
      </x:c>
      <x:c r="K51" t="n">
        <x:v>69</x:v>
      </x:c>
      <x:c r="L51" t="n">
        <x:v>69</x:v>
      </x:c>
    </x:row>
    <x:row r="52">
      <x:c r="J52" s="96" t="n">
        <x:v>46233</x:v>
      </x:c>
      <x:c r="K52" t="n">
        <x:v>66</x:v>
      </x:c>
      <x:c r="L52" t="n">
        <x:v>66</x:v>
      </x:c>
    </x:row>
  </x:sheetData>
  <x:mergeCells>
    <x:mergeCell ref="A1:H1"/>
    <x:mergeCell ref="A2:H2"/>
    <x:mergeCell ref="A15:H15"/>
    <x:mergeCell ref="A16:H19"/>
  </x:mergeCells>
  <x:pageMargins left="0.7" right="0.7" top="0.75" bottom="0.75" header="0.3" footer="0.3"/>
  <x:drawing xmlns:r="http://schemas.openxmlformats.org/officeDocument/2006/relationships" r:id="Rdde594731f9a417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3" hidden="0" customWidth="1"/>
    <x:col min="5" max="5" width="14" hidden="0" customWidth="1"/>
    <x:col min="6" max="6" width="52" hidden="0" customWidth="1"/>
  </x:cols>
  <x:sheetData>
    <x:row r="1" ht="28" customHeight="1">
      <x:c r="A1" s="27" t="str">
        <x:v>Calculated Metrics and Measurement Checks</x:v>
      </x:c>
      <x:c r="B1" s="27"/>
      <x:c r="C1" s="27"/>
      <x:c r="D1" s="27"/>
      <x:c r="E1" s="27"/>
      <x:c r="F1" s="27"/>
    </x:row>
    <x:row r="3">
      <x:c r="A3" s="132" t="str">
        <x:v>Metric</x:v>
      </x:c>
      <x:c r="B3" s="133" t="str">
        <x:v>Current</x:v>
      </x:c>
      <x:c r="C3" s="133" t="str">
        <x:v>Previous</x:v>
      </x:c>
      <x:c r="D3" s="133" t="str">
        <x:v>Change</x:v>
      </x:c>
      <x:c r="E3" s="133" t="str">
        <x:v>Status</x:v>
      </x:c>
      <x:c r="F3" s="134" t="str">
        <x:v>Notes</x:v>
      </x:c>
    </x:row>
    <x:row r="4">
      <x:c r="A4" s="135" t="str">
        <x:v>Period start</x:v>
      </x:c>
      <x:c r="B4" s="63" t="n">
        <x:f>MIN('Ads Current'!A2:A61)</x:f>
        <x:v>46204</x:v>
      </x:c>
      <x:c r="C4" s="63" t="n">
        <x:f>MIN('Ads Previous'!A2:A61)</x:f>
        <x:v>46174</x:v>
      </x:c>
      <x:c r="D4" s="64" t="n">
        <x:f>IFERROR(B4/C4-1,0)</x:f>
        <x:v>0.000649716290553215</x:v>
      </x:c>
      <x:c r="E4" s="53" t="str">
        <x:v>OK</x:v>
      </x:c>
      <x:c r="F4" s="136" t="str">
        <x:v>Aligned to supplied exports</x:v>
      </x:c>
    </x:row>
    <x:row r="5">
      <x:c r="A5" s="135" t="str">
        <x:v>Period end</x:v>
      </x:c>
      <x:c r="B5" s="63" t="n">
        <x:f>MAX('Ads Current'!A2:A61)</x:f>
        <x:v>46233</x:v>
      </x:c>
      <x:c r="C5" s="63" t="n">
        <x:f>MAX('Ads Previous'!A2:A61)</x:f>
        <x:v>46203</x:v>
      </x:c>
      <x:c r="D5" s="64" t="n">
        <x:f>IFERROR(B5/C5-1,0)</x:f>
        <x:v>0.0006493084864618304</x:v>
      </x:c>
      <x:c r="E5" s="53" t="str">
        <x:v>OK</x:v>
      </x:c>
      <x:c r="F5" s="136" t="str">
        <x:v>Aligned to supplied exports</x:v>
      </x:c>
    </x:row>
    <x:row r="6">
      <x:c r="A6" s="135" t="str">
        <x:v>Impressions</x:v>
      </x:c>
      <x:c r="B6" s="65" t="n">
        <x:f>SUM('Ads Current'!G2:G61)</x:f>
        <x:v>23257</x:v>
      </x:c>
      <x:c r="C6" s="65" t="n">
        <x:f>SUM('Ads Previous'!G2:G61)</x:f>
        <x:v>21947</x:v>
      </x:c>
      <x:c r="D6" s="64" t="n">
        <x:f>IFERROR(B6/C6-1,0)</x:f>
        <x:v>0.059689251378320485</x:v>
      </x:c>
      <x:c r="E6" s="66" t="str">
        <x:v>INFO</x:v>
      </x:c>
      <x:c r="F6" s="136" t="str">
        <x:v>Traffic scale only</x:v>
      </x:c>
    </x:row>
    <x:row r="7">
      <x:c r="A7" s="135" t="str">
        <x:v>Clicks</x:v>
      </x:c>
      <x:c r="B7" s="65" t="n">
        <x:f>SUM('Ads Current'!H2:H61)</x:f>
        <x:v>1682</x:v>
      </x:c>
      <x:c r="C7" s="65" t="n">
        <x:f>SUM('Ads Previous'!H2:H61)</x:f>
        <x:v>1587</x:v>
      </x:c>
      <x:c r="D7" s="64" t="n">
        <x:f>IFERROR(B7/C7-1,0)</x:f>
        <x:v>0.05986137366099564</x:v>
      </x:c>
      <x:c r="E7" s="66" t="str">
        <x:v>INFO</x:v>
      </x:c>
      <x:c r="F7" s="136" t="str">
        <x:v>Traffic scale only</x:v>
      </x:c>
    </x:row>
    <x:row r="8">
      <x:c r="A8" s="135" t="str">
        <x:v>Cost</x:v>
      </x:c>
      <x:c r="B8" s="67" t="n">
        <x:f>SUM('Ads Current'!I2:I61)</x:f>
        <x:v>5534.189999999999</x:v>
      </x:c>
      <x:c r="C8" s="67" t="n">
        <x:f>SUM('Ads Previous'!I2:I61)</x:f>
        <x:v>4851.990000000001</x:v>
      </x:c>
      <x:c r="D8" s="64" t="n">
        <x:f>IFERROR(B8/C8-1,0)</x:f>
        <x:v>0.14060210346682456</x:v>
      </x:c>
      <x:c r="E8" s="66" t="str">
        <x:v>INFO</x:v>
      </x:c>
      <x:c r="F8" s="136" t="str">
        <x:v>Spend total</x:v>
      </x:c>
    </x:row>
    <x:row r="9">
      <x:c r="A9" s="135" t="str">
        <x:v>Reported conversions</x:v>
      </x:c>
      <x:c r="B9" s="67" t="n">
        <x:f>SUM('Ads Current'!J2:J61)</x:f>
        <x:v>1682</x:v>
      </x:c>
      <x:c r="C9" s="67" t="n">
        <x:f>SUM('Ads Previous'!J2:J61)</x:f>
        <x:v>1557</x:v>
      </x:c>
      <x:c r="D9" s="64" t="n">
        <x:f>IFERROR(B9/C9-1,0)</x:f>
        <x:v>0.08028259473346178</x:v>
      </x:c>
      <x:c r="E9" s="51" t="str">
        <x:v>FAIL</x:v>
      </x:c>
      <x:c r="F9" s="136" t="str">
        <x:v>These are page views, not qualified leads.</x:v>
      </x:c>
    </x:row>
    <x:row r="10">
      <x:c r="A10" s="135" t="str">
        <x:v>Reported conversion value</x:v>
      </x:c>
      <x:c r="B10" s="67" t="n">
        <x:f>SUM('Ads Current'!K2:K61)</x:f>
        <x:v>1682</x:v>
      </x:c>
      <x:c r="C10" s="67" t="n">
        <x:f>SUM('Ads Previous'!K2:K61)</x:f>
        <x:v>1557</x:v>
      </x:c>
      <x:c r="D10" s="64" t="n">
        <x:f>IFERROR(B10/C10-1,0)</x:f>
        <x:v>0.08028259473346178</x:v>
      </x:c>
      <x:c r="E10" s="51" t="str">
        <x:v>FAIL</x:v>
      </x:c>
      <x:c r="F10" s="136" t="str">
        <x:v>The value is a placeholder count, not business value.</x:v>
      </x:c>
    </x:row>
    <x:row r="11">
      <x:c r="A11" s="135" t="str">
        <x:v>CTR</x:v>
      </x:c>
      <x:c r="B11" s="68" t="n">
        <x:f>IFERROR(B7/B6,0)</x:f>
        <x:v>0.07232231156211033</x:v>
      </x:c>
      <x:c r="C11" s="68" t="n">
        <x:f>IFERROR(C7/C6,0)</x:f>
        <x:v>0.07231056636442339</x:v>
      </x:c>
      <x:c r="D11" s="64" t="n">
        <x:f>IFERROR(B11/C11-1,0)</x:f>
        <x:v>0.00016242712894487532</x:v>
      </x:c>
      <x:c r="E11" s="51" t="str">
        <x:v>INFO</x:v>
      </x:c>
      <x:c r="F11" s="136" t="str">
        <x:v>Useful traffic metric</x:v>
      </x:c>
    </x:row>
    <x:row r="12">
      <x:c r="A12" s="135" t="str">
        <x:v>Average CPC</x:v>
      </x:c>
      <x:c r="B12" s="67" t="n">
        <x:f>IFERROR(B8/B7,0)</x:f>
        <x:v>3.2902437574316283</x:v>
      </x:c>
      <x:c r="C12" s="67" t="n">
        <x:f>IFERROR(C8/C7,0)</x:f>
        <x:v>3.0573345935727794</x:v>
      </x:c>
      <x:c r="D12" s="64" t="n">
        <x:f>IFERROR(B12/C12-1,0)</x:f>
        <x:v>0.0761804626645961</x:v>
      </x:c>
      <x:c r="E12" s="51" t="str">
        <x:v>INFO</x:v>
      </x:c>
      <x:c r="F12" s="136" t="str">
        <x:v>Useful cost metric</x:v>
      </x:c>
    </x:row>
    <x:row r="13">
      <x:c r="A13" s="135" t="str">
        <x:v>Reported conversion rate</x:v>
      </x:c>
      <x:c r="B13" s="68" t="n">
        <x:f>IFERROR(B9/B7,0)</x:f>
        <x:v>1</x:v>
      </x:c>
      <x:c r="C13" s="68" t="n">
        <x:f>IFERROR(C9/C7,0)</x:f>
        <x:v>0.9810964083175804</x:v>
      </x:c>
      <x:c r="D13" s="64" t="n">
        <x:f>IFERROR(B13/C13-1,0)</x:f>
        <x:v>0.019267822736030782</x:v>
      </x:c>
      <x:c r="E13" s="51" t="str">
        <x:v>FAIL</x:v>
      </x:c>
      <x:c r="F13" s="136" t="str">
        <x:v>100% is caused by the page-view definition.</x:v>
      </x:c>
    </x:row>
    <x:row r="14">
      <x:c r="A14" s="135" t="str">
        <x:v>Reported CPA</x:v>
      </x:c>
      <x:c r="B14" s="67" t="n">
        <x:f>IFERROR(B8/B9,0)</x:f>
        <x:v>3.2902437574316283</x:v>
      </x:c>
      <x:c r="C14" s="67" t="n">
        <x:f>IFERROR(C8/C9,0)</x:f>
        <x:v>3.1162427745664742</x:v>
      </x:c>
      <x:c r="D14" s="64" t="n">
        <x:f>IFERROR(B14/C14-1,0)</x:f>
        <x:v>0.05583678662178704</x:v>
      </x:c>
      <x:c r="E14" s="51" t="str">
        <x:v>FAIL</x:v>
      </x:c>
      <x:c r="F14" s="136" t="str">
        <x:v>Not a qualified-lead CPA.</x:v>
      </x:c>
    </x:row>
    <x:row r="15">
      <x:c r="A15" s="137" t="str">
        <x:v>Reported ROAS</x:v>
      </x:c>
      <x:c r="B15" s="138" t="n">
        <x:f>IFERROR(B10/B8,0)</x:f>
        <x:v>0.30392884956967514</x:v>
      </x:c>
      <x:c r="C15" s="138" t="n">
        <x:f>IFERROR(C10/C8,0)</x:f>
        <x:v>0.3208992598913023</x:v>
      </x:c>
      <x:c r="D15" s="139" t="n">
        <x:f>IFERROR(B15/C15-1,0)</x:f>
        <x:v>-0.052883918546199005</x:v>
      </x:c>
      <x:c r="E15" s="140" t="str">
        <x:v>FAIL</x:v>
      </x:c>
      <x:c r="F15" s="141" t="str">
        <x:v>Not a revenue ROAS.</x:v>
      </x:c>
    </x:row>
    <x:row r="18">
      <x:c r="A18" s="132" t="str">
        <x:v>Measurement check</x:v>
      </x:c>
      <x:c r="B18" s="133" t="str">
        <x:v>Observed current</x:v>
      </x:c>
      <x:c r="C18" s="133" t="str">
        <x:v>Observed previous</x:v>
      </x:c>
      <x:c r="D18" s="133" t="str">
        <x:v>Status</x:v>
      </x:c>
      <x:c r="E18" s="133" t="str">
        <x:v>Decision</x:v>
      </x:c>
      <x:c r="F18" s="134" t="str">
        <x:v>Evidence</x:v>
      </x:c>
    </x:row>
    <x:row r="19">
      <x:c r="A19" s="117" t="str">
        <x:v>Dates aligned</x:v>
      </x:c>
      <x:c r="B19" s="50" t="str">
        <x:v>2026-07-01 to 2026-07-30</x:v>
      </x:c>
      <x:c r="C19" s="50" t="str">
        <x:v>2026-06-01 to 2026-06-30</x:v>
      </x:c>
      <x:c r="D19" s="53" t="str">
        <x:v>PASS</x:v>
      </x:c>
      <x:c r="E19" s="50" t="str">
        <x:v>Continue</x:v>
      </x:c>
      <x:c r="F19" s="136" t="str">
        <x:v>Matching 30-day periods</x:v>
      </x:c>
    </x:row>
    <x:row r="20">
      <x:c r="A20" s="117" t="str">
        <x:v>Primary action is a business outcome</x:v>
      </x:c>
      <x:c r="B20" s="50" t="str">
        <x:v>Page view</x:v>
      </x:c>
      <x:c r="C20" s="50" t="str">
        <x:v>Page view</x:v>
      </x:c>
      <x:c r="D20" s="51" t="str">
        <x:v>FAIL</x:v>
      </x:c>
      <x:c r="E20" s="50" t="str">
        <x:v>Stop optimization</x:v>
      </x:c>
      <x:c r="F20" s="136" t="str">
        <x:v>Conversion screenshot</x:v>
      </x:c>
    </x:row>
    <x:row r="21">
      <x:c r="A21" s="117" t="str">
        <x:v>GA4 paid key events</x:v>
      </x:c>
      <x:c r="B21" s="50" t="n">
        <x:v>0</x:v>
      </x:c>
      <x:c r="C21" s="50" t="n">
        <x:v>0</x:v>
      </x:c>
      <x:c r="D21" s="51" t="str">
        <x:v>FAIL</x:v>
      </x:c>
      <x:c r="E21" s="50" t="str">
        <x:v>Configure meaningful key event</x:v>
      </x:c>
      <x:c r="F21" s="136" t="str">
        <x:v>google / cpc row</x:v>
      </x:c>
    </x:row>
    <x:row r="22">
      <x:c r="A22" s="117" t="str">
        <x:v>GA4 report scope</x:v>
      </x:c>
      <x:c r="B22" s="50" t="str">
        <x:v>Session source / medium included</x:v>
      </x:c>
      <x:c r="C22" s="50" t="str">
        <x:v>Session source / medium included</x:v>
      </x:c>
      <x:c r="D22" s="53" t="str">
        <x:v>PASS</x:v>
      </x:c>
      <x:c r="E22" s="50" t="str">
        <x:v>Continue</x:v>
      </x:c>
      <x:c r="F22" s="136" t="str">
        <x:v>Traffic acquisition export</x:v>
      </x:c>
    </x:row>
    <x:row r="23">
      <x:c r="A23" s="117" t="str">
        <x:v>Landing pages filtered to paid traffic</x:v>
      </x:c>
      <x:c r="B23" s="50" t="str">
        <x:v>google / cpc documented</x:v>
      </x:c>
      <x:c r="C23" s="50" t="str">
        <x:v>google / cpc documented</x:v>
      </x:c>
      <x:c r="D23" s="53" t="str">
        <x:v>PASS</x:v>
      </x:c>
      <x:c r="E23" s="50" t="str">
        <x:v>Continue</x:v>
      </x:c>
      <x:c r="F23" s="136" t="str">
        <x:v>File comment</x:v>
      </x:c>
    </x:row>
    <x:row r="24">
      <x:c r="A24" s="117" t="str">
        <x:v>Search-term report</x:v>
      </x:c>
      <x:c r="B24" s="50" t="str">
        <x:v>Provided</x:v>
      </x:c>
      <x:c r="C24" s="50" t="str">
        <x:v>Not required</x:v>
      </x:c>
      <x:c r="D24" s="53" t="str">
        <x:v>PASS</x:v>
      </x:c>
      <x:c r="E24" s="50" t="str">
        <x:v>Review intent after tracking fix</x:v>
      </x:c>
      <x:c r="F24" s="136" t="str">
        <x:v>Current-period export</x:v>
      </x:c>
    </x:row>
    <x:row r="25">
      <x:c r="A25" s="121" t="str">
        <x:v>Overall readiness</x:v>
      </x:c>
      <x:c r="B25" s="122" t="str">
        <x:v>MEASUREMENT REVIEW FIRST</x:v>
      </x:c>
      <x:c r="C25" s="122" t="str">
        <x:v>MEASUREMENT REVIEW FIRST</x:v>
      </x:c>
      <x:c r="D25" s="140" t="str">
        <x:v>FAIL</x:v>
      </x:c>
      <x:c r="E25" s="122" t="str">
        <x:v>Do not judge CPA or ROAS yet</x:v>
      </x:c>
      <x:c r="F25" s="141" t="str">
        <x:v>Primary page-view signal + 0 GA4 key events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5" hidden="0" customWidth="1"/>
    <x:col min="5" max="5" width="11" hidden="0" customWidth="1"/>
    <x:col min="6" max="6" width="10" hidden="0" customWidth="1"/>
    <x:col min="7" max="7" width="12" hidden="0" customWidth="1"/>
    <x:col min="8" max="8" width="10" hidden="0" customWidth="1"/>
    <x:col min="9" max="9" width="11" hidden="0" customWidth="1"/>
    <x:col min="10" max="10" width="17" hidden="0" customWidth="1"/>
    <x:col min="11" max="11" width="15" hidden="0" customWidth="1"/>
    <x:col min="12" max="12" width="23" hidden="0" customWidth="1"/>
    <x:col min="13" max="13" width="10" hidden="0" customWidth="1"/>
    <x:col min="14" max="14" width="13" hidden="0" customWidth="1"/>
    <x:col min="15" max="15" width="11" hidden="0" customWidth="1"/>
    <x:col min="16" max="16" width="13" hidden="0" customWidth="1"/>
    <x:col min="17" max="17" width="13" hidden="0" customWidth="1"/>
  </x:cols>
  <x:sheetData>
    <x:row r="1">
      <x:c r="A1" s="6" t="str">
        <x:v>Date</x:v>
      </x:c>
      <x:c r="B1" s="6" t="str">
        <x:v>Campaign</x:v>
      </x:c>
      <x:c r="C1" s="6" t="str">
        <x:v>Campaign Status</x:v>
      </x:c>
      <x:c r="D1" s="6" t="str">
        <x:v>Campaign Type</x:v>
      </x:c>
      <x:c r="E1" s="6" t="str">
        <x:v>Budget</x:v>
      </x:c>
      <x:c r="F1" s="6" t="str">
        <x:v>Currency</x:v>
      </x:c>
      <x:c r="G1" s="6" t="str">
        <x:v>Impressions</x:v>
      </x:c>
      <x:c r="H1" s="6" t="str">
        <x:v>Clicks</x:v>
      </x:c>
      <x:c r="I1" s="6" t="str">
        <x:v>Cost</x:v>
      </x:c>
      <x:c r="J1" s="6" t="str">
        <x:v>Reported Conversions</x:v>
      </x:c>
      <x:c r="K1" s="6" t="str">
        <x:v>Reported Value</x:v>
      </x:c>
      <x:c r="L1" s="6" t="str">
        <x:v>Goal</x:v>
      </x:c>
      <x:c r="M1" s="6" t="str">
        <x:v>CTR</x:v>
      </x:c>
      <x:c r="N1" s="6" t="str">
        <x:v>Reported CVR</x:v>
      </x:c>
      <x:c r="O1" s="6" t="str">
        <x:v>Avg CPC</x:v>
      </x:c>
      <x:c r="P1" s="6" t="str">
        <x:v>Reported CPA</x:v>
      </x:c>
      <x:c r="Q1" s="6" t="str">
        <x:v>Reported ROAS</x:v>
      </x:c>
    </x:row>
    <x:row r="2">
      <x:c r="A2" s="12" t="n">
        <x:v>46204</x:v>
      </x:c>
      <x:c r="B2" t="str">
        <x:v>Brand Search</x:v>
      </x:c>
      <x:c r="C2" t="str">
        <x:v>Enabled</x:v>
      </x:c>
      <x:c r="D2" t="str">
        <x:v>Search</x:v>
      </x:c>
      <x:c r="E2" s="14" t="n">
        <x:v>35</x:v>
      </x:c>
      <x:c r="F2" t="str">
        <x:v>USD</x:v>
      </x:c>
      <x:c r="G2" s="16" t="n">
        <x:v>85</x:v>
      </x:c>
      <x:c r="H2" s="16" t="n">
        <x:v>18</x:v>
      </x:c>
      <x:c r="I2" s="14" t="n">
        <x:v>31.11</x:v>
      </x:c>
      <x:c r="J2" s="14" t="n">
        <x:v>18</x:v>
      </x:c>
      <x:c r="K2" s="14" t="n">
        <x:v>18</x:v>
      </x:c>
      <x:c r="L2" t="str">
        <x:v>Page View (Website)</x:v>
      </x:c>
      <x:c r="M2" s="18" t="n">
        <x:f>IFERROR(H2/G2,0)</x:f>
        <x:v>0.21176470588235294</x:v>
      </x:c>
      <x:c r="N2" s="18" t="n">
        <x:f>IFERROR(J2/H2,0)</x:f>
        <x:v>1</x:v>
      </x:c>
      <x:c r="O2" s="14" t="n">
        <x:f>IFERROR(I2/H2,0)</x:f>
        <x:v>1.7283333333333333</x:v>
      </x:c>
      <x:c r="P2" s="14" t="n">
        <x:f>IFERROR(I2/J2,0)</x:f>
        <x:v>1.7283333333333333</x:v>
      </x:c>
      <x:c r="Q2" s="20" t="n">
        <x:f>IFERROR(K2/I2,0)</x:f>
        <x:v>0.5785920925747349</x:v>
      </x:c>
    </x:row>
    <x:row r="3">
      <x:c r="A3" s="12" t="n">
        <x:v>46204</x:v>
      </x:c>
      <x:c r="B3" t="str">
        <x:v>Nonbrand Search</x:v>
      </x:c>
      <x:c r="C3" t="str">
        <x:v>Enabled</x:v>
      </x:c>
      <x:c r="D3" t="str">
        <x:v>Search</x:v>
      </x:c>
      <x:c r="E3" s="14" t="n">
        <x:v>75</x:v>
      </x:c>
      <x:c r="F3" t="str">
        <x:v>USD</x:v>
      </x:c>
      <x:c r="G3" s="16" t="n">
        <x:v>779</x:v>
      </x:c>
      <x:c r="H3" s="16" t="n">
        <x:v>37</x:v>
      </x:c>
      <x:c r="I3" s="14" t="n">
        <x:v>150.59</x:v>
      </x:c>
      <x:c r="J3" s="14" t="n">
        <x:v>37</x:v>
      </x:c>
      <x:c r="K3" s="14" t="n">
        <x:v>37</x:v>
      </x:c>
      <x:c r="L3" t="str">
        <x:v>Page View (Website)</x:v>
      </x:c>
      <x:c r="M3" s="18" t="n">
        <x:f>IFERROR(H3/G3,0)</x:f>
        <x:v>0.04749679075738126</x:v>
      </x:c>
      <x:c r="N3" s="18" t="n">
        <x:f>IFERROR(J3/H3,0)</x:f>
        <x:v>1</x:v>
      </x:c>
      <x:c r="O3" s="14" t="n">
        <x:f>IFERROR(I3/H3,0)</x:f>
        <x:v>4.07</x:v>
      </x:c>
      <x:c r="P3" s="14" t="n">
        <x:f>IFERROR(I3/J3,0)</x:f>
        <x:v>4.07</x:v>
      </x:c>
      <x:c r="Q3" s="20" t="n">
        <x:f>IFERROR(K3/I3,0)</x:f>
        <x:v>0.2457002457002457</x:v>
      </x:c>
    </x:row>
    <x:row r="4">
      <x:c r="A4" s="12" t="n">
        <x:v>46205</x:v>
      </x:c>
      <x:c r="B4" t="str">
        <x:v>Brand Search</x:v>
      </x:c>
      <x:c r="C4" t="str">
        <x:v>Enabled</x:v>
      </x:c>
      <x:c r="D4" t="str">
        <x:v>Search</x:v>
      </x:c>
      <x:c r="E4" s="14" t="n">
        <x:v>35</x:v>
      </x:c>
      <x:c r="F4" t="str">
        <x:v>USD</x:v>
      </x:c>
      <x:c r="G4" s="16" t="n">
        <x:v>97</x:v>
      </x:c>
      <x:c r="H4" s="16" t="n">
        <x:v>21</x:v>
      </x:c>
      <x:c r="I4" s="14" t="n">
        <x:v>36.38</x:v>
      </x:c>
      <x:c r="J4" s="14" t="n">
        <x:v>21</x:v>
      </x:c>
      <x:c r="K4" s="14" t="n">
        <x:v>21</x:v>
      </x:c>
      <x:c r="L4" t="str">
        <x:v>Page View (Website)</x:v>
      </x:c>
      <x:c r="M4" s="18" t="n">
        <x:f>IFERROR(H4/G4,0)</x:f>
        <x:v>0.21649484536082475</x:v>
      </x:c>
      <x:c r="N4" s="18" t="n">
        <x:f>IFERROR(J4/H4,0)</x:f>
        <x:v>1</x:v>
      </x:c>
      <x:c r="O4" s="14" t="n">
        <x:f>IFERROR(I4/H4,0)</x:f>
        <x:v>1.7323809523809526</x:v>
      </x:c>
      <x:c r="P4" s="14" t="n">
        <x:f>IFERROR(I4/J4,0)</x:f>
        <x:v>1.7323809523809526</x:v>
      </x:c>
      <x:c r="Q4" s="20" t="n">
        <x:f>IFERROR(K4/I4,0)</x:f>
        <x:v>0.577240241891149</x:v>
      </x:c>
    </x:row>
    <x:row r="5">
      <x:c r="A5" s="12" t="n">
        <x:v>46205</x:v>
      </x:c>
      <x:c r="B5" t="str">
        <x:v>Nonbrand Search</x:v>
      </x:c>
      <x:c r="C5" t="str">
        <x:v>Enabled</x:v>
      </x:c>
      <x:c r="D5" t="str">
        <x:v>Search</x:v>
      </x:c>
      <x:c r="E5" s="14" t="n">
        <x:v>75</x:v>
      </x:c>
      <x:c r="F5" t="str">
        <x:v>USD</x:v>
      </x:c>
      <x:c r="G5" s="16" t="n">
        <x:v>780</x:v>
      </x:c>
      <x:c r="H5" s="16" t="n">
        <x:v>36</x:v>
      </x:c>
      <x:c r="I5" s="14" t="n">
        <x:v>148.17</x:v>
      </x:c>
      <x:c r="J5" s="14" t="n">
        <x:v>36</x:v>
      </x:c>
      <x:c r="K5" s="14" t="n">
        <x:v>36</x:v>
      </x:c>
      <x:c r="L5" t="str">
        <x:v>Page View (Website)</x:v>
      </x:c>
      <x:c r="M5" s="18" t="n">
        <x:f>IFERROR(H5/G5,0)</x:f>
        <x:v>0.046153846153846156</x:v>
      </x:c>
      <x:c r="N5" s="18" t="n">
        <x:f>IFERROR(J5/H5,0)</x:f>
        <x:v>1</x:v>
      </x:c>
      <x:c r="O5" s="14" t="n">
        <x:f>IFERROR(I5/H5,0)</x:f>
        <x:v>4.115833333333333</x:v>
      </x:c>
      <x:c r="P5" s="14" t="n">
        <x:f>IFERROR(I5/J5,0)</x:f>
        <x:v>4.115833333333333</x:v>
      </x:c>
      <x:c r="Q5" s="20" t="n">
        <x:f>IFERROR(K5/I5,0)</x:f>
        <x:v>0.2429641627859891</x:v>
      </x:c>
    </x:row>
    <x:row r="6">
      <x:c r="A6" s="12" t="n">
        <x:v>46206</x:v>
      </x:c>
      <x:c r="B6" t="str">
        <x:v>Brand Search</x:v>
      </x:c>
      <x:c r="C6" t="str">
        <x:v>Enabled</x:v>
      </x:c>
      <x:c r="D6" t="str">
        <x:v>Search</x:v>
      </x:c>
      <x:c r="E6" s="14" t="n">
        <x:v>35</x:v>
      </x:c>
      <x:c r="F6" t="str">
        <x:v>USD</x:v>
      </x:c>
      <x:c r="G6" s="16" t="n">
        <x:v>99</x:v>
      </x:c>
      <x:c r="H6" s="16" t="n">
        <x:v>22</x:v>
      </x:c>
      <x:c r="I6" s="14" t="n">
        <x:v>43.7</x:v>
      </x:c>
      <x:c r="J6" s="14" t="n">
        <x:v>22</x:v>
      </x:c>
      <x:c r="K6" s="14" t="n">
        <x:v>22</x:v>
      </x:c>
      <x:c r="L6" t="str">
        <x:v>Page View (Website)</x:v>
      </x:c>
      <x:c r="M6" s="18" t="n">
        <x:f>IFERROR(H6/G6,0)</x:f>
        <x:v>0.2222222222222222</x:v>
      </x:c>
      <x:c r="N6" s="18" t="n">
        <x:f>IFERROR(J6/H6,0)</x:f>
        <x:v>1</x:v>
      </x:c>
      <x:c r="O6" s="14" t="n">
        <x:f>IFERROR(I6/H6,0)</x:f>
        <x:v>1.9863636363636366</x:v>
      </x:c>
      <x:c r="P6" s="14" t="n">
        <x:f>IFERROR(I6/J6,0)</x:f>
        <x:v>1.9863636363636366</x:v>
      </x:c>
      <x:c r="Q6" s="20" t="n">
        <x:f>IFERROR(K6/I6,0)</x:f>
        <x:v>0.5034324942791761</x:v>
      </x:c>
    </x:row>
    <x:row r="7">
      <x:c r="A7" s="12" t="n">
        <x:v>46206</x:v>
      </x:c>
      <x:c r="B7" t="str">
        <x:v>Nonbrand Search</x:v>
      </x:c>
      <x:c r="C7" t="str">
        <x:v>Enabled</x:v>
      </x:c>
      <x:c r="D7" t="str">
        <x:v>Search</x:v>
      </x:c>
      <x:c r="E7" s="14" t="n">
        <x:v>75</x:v>
      </x:c>
      <x:c r="F7" t="str">
        <x:v>USD</x:v>
      </x:c>
      <x:c r="G7" s="16" t="n">
        <x:v>720</x:v>
      </x:c>
      <x:c r="H7" s="16" t="n">
        <x:v>42</x:v>
      </x:c>
      <x:c r="I7" s="14" t="n">
        <x:v>168.67</x:v>
      </x:c>
      <x:c r="J7" s="14" t="n">
        <x:v>42</x:v>
      </x:c>
      <x:c r="K7" s="14" t="n">
        <x:v>42</x:v>
      </x:c>
      <x:c r="L7" t="str">
        <x:v>Page View (Website)</x:v>
      </x:c>
      <x:c r="M7" s="18" t="n">
        <x:f>IFERROR(H7/G7,0)</x:f>
        <x:v>0.058333333333333334</x:v>
      </x:c>
      <x:c r="N7" s="18" t="n">
        <x:f>IFERROR(J7/H7,0)</x:f>
        <x:v>1</x:v>
      </x:c>
      <x:c r="O7" s="14" t="n">
        <x:f>IFERROR(I7/H7,0)</x:f>
        <x:v>4.01595238095238</x:v>
      </x:c>
      <x:c r="P7" s="14" t="n">
        <x:f>IFERROR(I7/J7,0)</x:f>
        <x:v>4.01595238095238</x:v>
      </x:c>
      <x:c r="Q7" s="20" t="n">
        <x:f>IFERROR(K7/I7,0)</x:f>
        <x:v>0.24900693662180592</x:v>
      </x:c>
    </x:row>
    <x:row r="8">
      <x:c r="A8" s="12" t="n">
        <x:v>46207</x:v>
      </x:c>
      <x:c r="B8" t="str">
        <x:v>Brand Search</x:v>
      </x:c>
      <x:c r="C8" t="str">
        <x:v>Enabled</x:v>
      </x:c>
      <x:c r="D8" t="str">
        <x:v>Search</x:v>
      </x:c>
      <x:c r="E8" s="14" t="n">
        <x:v>35</x:v>
      </x:c>
      <x:c r="F8" t="str">
        <x:v>USD</x:v>
      </x:c>
      <x:c r="G8" s="16" t="n">
        <x:v>72</x:v>
      </x:c>
      <x:c r="H8" s="16" t="n">
        <x:v>16</x:v>
      </x:c>
      <x:c r="I8" s="14" t="n">
        <x:v>28.45</x:v>
      </x:c>
      <x:c r="J8" s="14" t="n">
        <x:v>16</x:v>
      </x:c>
      <x:c r="K8" s="14" t="n">
        <x:v>16</x:v>
      </x:c>
      <x:c r="L8" t="str">
        <x:v>Page View (Website)</x:v>
      </x:c>
      <x:c r="M8" s="18" t="n">
        <x:f>IFERROR(H8/G8,0)</x:f>
        <x:v>0.2222222222222222</x:v>
      </x:c>
      <x:c r="N8" s="18" t="n">
        <x:f>IFERROR(J8/H8,0)</x:f>
        <x:v>1</x:v>
      </x:c>
      <x:c r="O8" s="14" t="n">
        <x:f>IFERROR(I8/H8,0)</x:f>
        <x:v>1.778125</x:v>
      </x:c>
      <x:c r="P8" s="14" t="n">
        <x:f>IFERROR(I8/J8,0)</x:f>
        <x:v>1.778125</x:v>
      </x:c>
      <x:c r="Q8" s="20" t="n">
        <x:f>IFERROR(K8/I8,0)</x:f>
        <x:v>0.562390158172232</x:v>
      </x:c>
    </x:row>
    <x:row r="9">
      <x:c r="A9" s="12" t="n">
        <x:v>46207</x:v>
      </x:c>
      <x:c r="B9" t="str">
        <x:v>Nonbrand Search</x:v>
      </x:c>
      <x:c r="C9" t="str">
        <x:v>Enabled</x:v>
      </x:c>
      <x:c r="D9" t="str">
        <x:v>Search</x:v>
      </x:c>
      <x:c r="E9" s="14" t="n">
        <x:v>75</x:v>
      </x:c>
      <x:c r="F9" t="str">
        <x:v>USD</x:v>
      </x:c>
      <x:c r="G9" s="16" t="n">
        <x:v>572</x:v>
      </x:c>
      <x:c r="H9" s="16" t="n">
        <x:v>30</x:v>
      </x:c>
      <x:c r="I9" s="14" t="n">
        <x:v>119.44</x:v>
      </x:c>
      <x:c r="J9" s="14" t="n">
        <x:v>30</x:v>
      </x:c>
      <x:c r="K9" s="14" t="n">
        <x:v>30</x:v>
      </x:c>
      <x:c r="L9" t="str">
        <x:v>Page View (Website)</x:v>
      </x:c>
      <x:c r="M9" s="18" t="n">
        <x:f>IFERROR(H9/G9,0)</x:f>
        <x:v>0.05244755244755245</x:v>
      </x:c>
      <x:c r="N9" s="18" t="n">
        <x:f>IFERROR(J9/H9,0)</x:f>
        <x:v>1</x:v>
      </x:c>
      <x:c r="O9" s="14" t="n">
        <x:f>IFERROR(I9/H9,0)</x:f>
        <x:v>3.981333333333333</x:v>
      </x:c>
      <x:c r="P9" s="14" t="n">
        <x:f>IFERROR(I9/J9,0)</x:f>
        <x:v>3.981333333333333</x:v>
      </x:c>
      <x:c r="Q9" s="20" t="n">
        <x:f>IFERROR(K9/I9,0)</x:f>
        <x:v>0.2511721366376423</x:v>
      </x:c>
    </x:row>
    <x:row r="10">
      <x:c r="A10" s="12" t="n">
        <x:v>46208</x:v>
      </x:c>
      <x:c r="B10" t="str">
        <x:v>Brand Search</x:v>
      </x:c>
      <x:c r="C10" t="str">
        <x:v>Enabled</x:v>
      </x:c>
      <x:c r="D10" t="str">
        <x:v>Search</x:v>
      </x:c>
      <x:c r="E10" s="14" t="n">
        <x:v>35</x:v>
      </x:c>
      <x:c r="F10" t="str">
        <x:v>USD</x:v>
      </x:c>
      <x:c r="G10" s="16" t="n">
        <x:v>73</x:v>
      </x:c>
      <x:c r="H10" s="16" t="n">
        <x:v>18</x:v>
      </x:c>
      <x:c r="I10" s="14" t="n">
        <x:v>33.59</x:v>
      </x:c>
      <x:c r="J10" s="14" t="n">
        <x:v>18</x:v>
      </x:c>
      <x:c r="K10" s="14" t="n">
        <x:v>18</x:v>
      </x:c>
      <x:c r="L10" t="str">
        <x:v>Page View (Website)</x:v>
      </x:c>
      <x:c r="M10" s="18" t="n">
        <x:f>IFERROR(H10/G10,0)</x:f>
        <x:v>0.2465753424657534</x:v>
      </x:c>
      <x:c r="N10" s="18" t="n">
        <x:f>IFERROR(J10/H10,0)</x:f>
        <x:v>1</x:v>
      </x:c>
      <x:c r="O10" s="14" t="n">
        <x:f>IFERROR(I10/H10,0)</x:f>
        <x:v>1.8661111111111113</x:v>
      </x:c>
      <x:c r="P10" s="14" t="n">
        <x:f>IFERROR(I10/J10,0)</x:f>
        <x:v>1.8661111111111113</x:v>
      </x:c>
      <x:c r="Q10" s="20" t="n">
        <x:f>IFERROR(K10/I10,0)</x:f>
        <x:v>0.5358737719559392</x:v>
      </x:c>
    </x:row>
    <x:row r="11">
      <x:c r="A11" s="12" t="n">
        <x:v>46208</x:v>
      </x:c>
      <x:c r="B11" t="str">
        <x:v>Nonbrand Search</x:v>
      </x:c>
      <x:c r="C11" t="str">
        <x:v>Enabled</x:v>
      </x:c>
      <x:c r="D11" t="str">
        <x:v>Search</x:v>
      </x:c>
      <x:c r="E11" s="14" t="n">
        <x:v>75</x:v>
      </x:c>
      <x:c r="F11" t="str">
        <x:v>USD</x:v>
      </x:c>
      <x:c r="G11" s="16" t="n">
        <x:v>618</x:v>
      </x:c>
      <x:c r="H11" s="16" t="n">
        <x:v>29</x:v>
      </x:c>
      <x:c r="I11" s="14" t="n">
        <x:v>119.09</x:v>
      </x:c>
      <x:c r="J11" s="14" t="n">
        <x:v>29</x:v>
      </x:c>
      <x:c r="K11" s="14" t="n">
        <x:v>29</x:v>
      </x:c>
      <x:c r="L11" t="str">
        <x:v>Page View (Website)</x:v>
      </x:c>
      <x:c r="M11" s="18" t="n">
        <x:f>IFERROR(H11/G11,0)</x:f>
        <x:v>0.04692556634304207</x:v>
      </x:c>
      <x:c r="N11" s="18" t="n">
        <x:f>IFERROR(J11/H11,0)</x:f>
        <x:v>1</x:v>
      </x:c>
      <x:c r="O11" s="14" t="n">
        <x:f>IFERROR(I11/H11,0)</x:f>
        <x:v>4.1065517241379315</x:v>
      </x:c>
      <x:c r="P11" s="14" t="n">
        <x:f>IFERROR(I11/J11,0)</x:f>
        <x:v>4.1065517241379315</x:v>
      </x:c>
      <x:c r="Q11" s="20" t="n">
        <x:f>IFERROR(K11/I11,0)</x:f>
        <x:v>0.24351330926190276</x:v>
      </x:c>
    </x:row>
    <x:row r="12">
      <x:c r="A12" s="12" t="n">
        <x:v>46209</x:v>
      </x:c>
      <x:c r="B12" t="str">
        <x:v>Brand Search</x:v>
      </x:c>
      <x:c r="C12" t="str">
        <x:v>Enabled</x:v>
      </x:c>
      <x:c r="D12" t="str">
        <x:v>Search</x:v>
      </x:c>
      <x:c r="E12" s="14" t="n">
        <x:v>35</x:v>
      </x:c>
      <x:c r="F12" t="str">
        <x:v>USD</x:v>
      </x:c>
      <x:c r="G12" s="16" t="n">
        <x:v>101</x:v>
      </x:c>
      <x:c r="H12" s="16" t="n">
        <x:v>24</x:v>
      </x:c>
      <x:c r="I12" s="14" t="n">
        <x:v>39.6</x:v>
      </x:c>
      <x:c r="J12" s="14" t="n">
        <x:v>24</x:v>
      </x:c>
      <x:c r="K12" s="14" t="n">
        <x:v>24</x:v>
      </x:c>
      <x:c r="L12" t="str">
        <x:v>Page View (Website)</x:v>
      </x:c>
      <x:c r="M12" s="18" t="n">
        <x:f>IFERROR(H12/G12,0)</x:f>
        <x:v>0.2376237623762376</x:v>
      </x:c>
      <x:c r="N12" s="18" t="n">
        <x:f>IFERROR(J12/H12,0)</x:f>
        <x:v>1</x:v>
      </x:c>
      <x:c r="O12" s="14" t="n">
        <x:f>IFERROR(I12/H12,0)</x:f>
        <x:v>1.6500000000000001</x:v>
      </x:c>
      <x:c r="P12" s="14" t="n">
        <x:f>IFERROR(I12/J12,0)</x:f>
        <x:v>1.6500000000000001</x:v>
      </x:c>
      <x:c r="Q12" s="20" t="n">
        <x:f>IFERROR(K12/I12,0)</x:f>
        <x:v>0.6060606060606061</x:v>
      </x:c>
    </x:row>
    <x:row r="13">
      <x:c r="A13" s="12" t="n">
        <x:v>46209</x:v>
      </x:c>
      <x:c r="B13" t="str">
        <x:v>Nonbrand Search</x:v>
      </x:c>
      <x:c r="C13" t="str">
        <x:v>Enabled</x:v>
      </x:c>
      <x:c r="D13" t="str">
        <x:v>Search</x:v>
      </x:c>
      <x:c r="E13" s="14" t="n">
        <x:v>75</x:v>
      </x:c>
      <x:c r="F13" t="str">
        <x:v>USD</x:v>
      </x:c>
      <x:c r="G13" s="16" t="n">
        <x:v>784</x:v>
      </x:c>
      <x:c r="H13" s="16" t="n">
        <x:v>46</x:v>
      </x:c>
      <x:c r="I13" s="14" t="n">
        <x:v>193.49</x:v>
      </x:c>
      <x:c r="J13" s="14" t="n">
        <x:v>46</x:v>
      </x:c>
      <x:c r="K13" s="14" t="n">
        <x:v>46</x:v>
      </x:c>
      <x:c r="L13" t="str">
        <x:v>Page View (Website)</x:v>
      </x:c>
      <x:c r="M13" s="18" t="n">
        <x:f>IFERROR(H13/G13,0)</x:f>
        <x:v>0.058673469387755105</x:v>
      </x:c>
      <x:c r="N13" s="18" t="n">
        <x:f>IFERROR(J13/H13,0)</x:f>
        <x:v>1</x:v>
      </x:c>
      <x:c r="O13" s="14" t="n">
        <x:f>IFERROR(I13/H13,0)</x:f>
        <x:v>4.206304347826087</x:v>
      </x:c>
      <x:c r="P13" s="14" t="n">
        <x:f>IFERROR(I13/J13,0)</x:f>
        <x:v>4.206304347826087</x:v>
      </x:c>
      <x:c r="Q13" s="20" t="n">
        <x:f>IFERROR(K13/I13,0)</x:f>
        <x:v>0.23773838441263112</x:v>
      </x:c>
    </x:row>
    <x:row r="14">
      <x:c r="A14" s="12" t="n">
        <x:v>46210</x:v>
      </x:c>
      <x:c r="B14" t="str">
        <x:v>Brand Search</x:v>
      </x:c>
      <x:c r="C14" t="str">
        <x:v>Enabled</x:v>
      </x:c>
      <x:c r="D14" t="str">
        <x:v>Search</x:v>
      </x:c>
      <x:c r="E14" s="14" t="n">
        <x:v>35</x:v>
      </x:c>
      <x:c r="F14" t="str">
        <x:v>USD</x:v>
      </x:c>
      <x:c r="G14" s="16" t="n">
        <x:v>93</x:v>
      </x:c>
      <x:c r="H14" s="16" t="n">
        <x:v>21</x:v>
      </x:c>
      <x:c r="I14" s="14" t="n">
        <x:v>41.94</x:v>
      </x:c>
      <x:c r="J14" s="14" t="n">
        <x:v>21</x:v>
      </x:c>
      <x:c r="K14" s="14" t="n">
        <x:v>21</x:v>
      </x:c>
      <x:c r="L14" t="str">
        <x:v>Page View (Website)</x:v>
      </x:c>
      <x:c r="M14" s="18" t="n">
        <x:f>IFERROR(H14/G14,0)</x:f>
        <x:v>0.22580645161290322</x:v>
      </x:c>
      <x:c r="N14" s="18" t="n">
        <x:f>IFERROR(J14/H14,0)</x:f>
        <x:v>1</x:v>
      </x:c>
      <x:c r="O14" s="14" t="n">
        <x:f>IFERROR(I14/H14,0)</x:f>
        <x:v>1.997142857142857</x:v>
      </x:c>
      <x:c r="P14" s="14" t="n">
        <x:f>IFERROR(I14/J14,0)</x:f>
        <x:v>1.997142857142857</x:v>
      </x:c>
      <x:c r="Q14" s="20" t="n">
        <x:f>IFERROR(K14/I14,0)</x:f>
        <x:v>0.5007153075822603</x:v>
      </x:c>
    </x:row>
    <x:row r="15">
      <x:c r="A15" s="12" t="n">
        <x:v>46210</x:v>
      </x:c>
      <x:c r="B15" t="str">
        <x:v>Nonbrand Search</x:v>
      </x:c>
      <x:c r="C15" t="str">
        <x:v>Enabled</x:v>
      </x:c>
      <x:c r="D15" t="str">
        <x:v>Search</x:v>
      </x:c>
      <x:c r="E15" s="14" t="n">
        <x:v>75</x:v>
      </x:c>
      <x:c r="F15" t="str">
        <x:v>USD</x:v>
      </x:c>
      <x:c r="G15" s="16" t="n">
        <x:v>778</x:v>
      </x:c>
      <x:c r="H15" s="16" t="n">
        <x:v>40</x:v>
      </x:c>
      <x:c r="I15" s="14" t="n">
        <x:v>157.9</x:v>
      </x:c>
      <x:c r="J15" s="14" t="n">
        <x:v>40</x:v>
      </x:c>
      <x:c r="K15" s="14" t="n">
        <x:v>40</x:v>
      </x:c>
      <x:c r="L15" t="str">
        <x:v>Page View (Website)</x:v>
      </x:c>
      <x:c r="M15" s="18" t="n">
        <x:f>IFERROR(H15/G15,0)</x:f>
        <x:v>0.05141388174807198</x:v>
      </x:c>
      <x:c r="N15" s="18" t="n">
        <x:f>IFERROR(J15/H15,0)</x:f>
        <x:v>1</x:v>
      </x:c>
      <x:c r="O15" s="14" t="n">
        <x:f>IFERROR(I15/H15,0)</x:f>
        <x:v>3.9475000000000002</x:v>
      </x:c>
      <x:c r="P15" s="14" t="n">
        <x:f>IFERROR(I15/J15,0)</x:f>
        <x:v>3.9475000000000002</x:v>
      </x:c>
      <x:c r="Q15" s="20" t="n">
        <x:f>IFERROR(K15/I15,0)</x:f>
        <x:v>0.253324889170361</x:v>
      </x:c>
    </x:row>
    <x:row r="16">
      <x:c r="A16" s="12" t="n">
        <x:v>46211</x:v>
      </x:c>
      <x:c r="B16" t="str">
        <x:v>Brand Search</x:v>
      </x:c>
      <x:c r="C16" t="str">
        <x:v>Enabled</x:v>
      </x:c>
      <x:c r="D16" t="str">
        <x:v>Search</x:v>
      </x:c>
      <x:c r="E16" s="14" t="n">
        <x:v>35</x:v>
      </x:c>
      <x:c r="F16" t="str">
        <x:v>USD</x:v>
      </x:c>
      <x:c r="G16" s="16" t="n">
        <x:v>92</x:v>
      </x:c>
      <x:c r="H16" s="16" t="n">
        <x:v>22</x:v>
      </x:c>
      <x:c r="I16" s="14" t="n">
        <x:v>42.92</x:v>
      </x:c>
      <x:c r="J16" s="14" t="n">
        <x:v>22</x:v>
      </x:c>
      <x:c r="K16" s="14" t="n">
        <x:v>22</x:v>
      </x:c>
      <x:c r="L16" t="str">
        <x:v>Page View (Website)</x:v>
      </x:c>
      <x:c r="M16" s="18" t="n">
        <x:f>IFERROR(H16/G16,0)</x:f>
        <x:v>0.2391304347826087</x:v>
      </x:c>
      <x:c r="N16" s="18" t="n">
        <x:f>IFERROR(J16/H16,0)</x:f>
        <x:v>1</x:v>
      </x:c>
      <x:c r="O16" s="14" t="n">
        <x:f>IFERROR(I16/H16,0)</x:f>
        <x:v>1.950909090909091</x:v>
      </x:c>
      <x:c r="P16" s="14" t="n">
        <x:f>IFERROR(I16/J16,0)</x:f>
        <x:v>1.950909090909091</x:v>
      </x:c>
      <x:c r="Q16" s="20" t="n">
        <x:f>IFERROR(K16/I16,0)</x:f>
        <x:v>0.5125815470643057</x:v>
      </x:c>
    </x:row>
    <x:row r="17">
      <x:c r="A17" s="12" t="n">
        <x:v>46211</x:v>
      </x:c>
      <x:c r="B17" t="str">
        <x:v>Nonbrand Search</x:v>
      </x:c>
      <x:c r="C17" t="str">
        <x:v>Enabled</x:v>
      </x:c>
      <x:c r="D17" t="str">
        <x:v>Search</x:v>
      </x:c>
      <x:c r="E17" s="14" t="n">
        <x:v>75</x:v>
      </x:c>
      <x:c r="F17" t="str">
        <x:v>USD</x:v>
      </x:c>
      <x:c r="G17" s="16" t="n">
        <x:v>777</x:v>
      </x:c>
      <x:c r="H17" s="16" t="n">
        <x:v>42</x:v>
      </x:c>
      <x:c r="I17" s="14" t="n">
        <x:v>177.96</x:v>
      </x:c>
      <x:c r="J17" s="14" t="n">
        <x:v>42</x:v>
      </x:c>
      <x:c r="K17" s="14" t="n">
        <x:v>42</x:v>
      </x:c>
      <x:c r="L17" t="str">
        <x:v>Page View (Website)</x:v>
      </x:c>
      <x:c r="M17" s="18" t="n">
        <x:f>IFERROR(H17/G17,0)</x:f>
        <x:v>0.05405405405405406</x:v>
      </x:c>
      <x:c r="N17" s="18" t="n">
        <x:f>IFERROR(J17/H17,0)</x:f>
        <x:v>1</x:v>
      </x:c>
      <x:c r="O17" s="14" t="n">
        <x:f>IFERROR(I17/H17,0)</x:f>
        <x:v>4.2371428571428575</x:v>
      </x:c>
      <x:c r="P17" s="14" t="n">
        <x:f>IFERROR(I17/J17,0)</x:f>
        <x:v>4.2371428571428575</x:v>
      </x:c>
      <x:c r="Q17" s="20" t="n">
        <x:f>IFERROR(K17/I17,0)</x:f>
        <x:v>0.23600809170600134</x:v>
      </x:c>
    </x:row>
    <x:row r="18">
      <x:c r="A18" s="12" t="n">
        <x:v>46212</x:v>
      </x:c>
      <x:c r="B18" t="str">
        <x:v>Brand Search</x:v>
      </x:c>
      <x:c r="C18" t="str">
        <x:v>Enabled</x:v>
      </x:c>
      <x:c r="D18" t="str">
        <x:v>Search</x:v>
      </x:c>
      <x:c r="E18" s="14" t="n">
        <x:v>35</x:v>
      </x:c>
      <x:c r="F18" t="str">
        <x:v>USD</x:v>
      </x:c>
      <x:c r="G18" s="16" t="n">
        <x:v>97</x:v>
      </x:c>
      <x:c r="H18" s="16" t="n">
        <x:v>23</x:v>
      </x:c>
      <x:c r="I18" s="14" t="n">
        <x:v>45.34</x:v>
      </x:c>
      <x:c r="J18" s="14" t="n">
        <x:v>23</x:v>
      </x:c>
      <x:c r="K18" s="14" t="n">
        <x:v>23</x:v>
      </x:c>
      <x:c r="L18" t="str">
        <x:v>Page View (Website)</x:v>
      </x:c>
      <x:c r="M18" s="18" t="n">
        <x:f>IFERROR(H18/G18,0)</x:f>
        <x:v>0.23711340206185566</x:v>
      </x:c>
      <x:c r="N18" s="18" t="n">
        <x:f>IFERROR(J18/H18,0)</x:f>
        <x:v>1</x:v>
      </x:c>
      <x:c r="O18" s="14" t="n">
        <x:f>IFERROR(I18/H18,0)</x:f>
        <x:v>1.9713043478260872</x:v>
      </x:c>
      <x:c r="P18" s="14" t="n">
        <x:f>IFERROR(I18/J18,0)</x:f>
        <x:v>1.9713043478260872</x:v>
      </x:c>
      <x:c r="Q18" s="20" t="n">
        <x:f>IFERROR(K18/I18,0)</x:f>
        <x:v>0.5072783414203793</x:v>
      </x:c>
    </x:row>
    <x:row r="19">
      <x:c r="A19" s="12" t="n">
        <x:v>46212</x:v>
      </x:c>
      <x:c r="B19" t="str">
        <x:v>Nonbrand Search</x:v>
      </x:c>
      <x:c r="C19" t="str">
        <x:v>Enabled</x:v>
      </x:c>
      <x:c r="D19" t="str">
        <x:v>Search</x:v>
      </x:c>
      <x:c r="E19" s="14" t="n">
        <x:v>75</x:v>
      </x:c>
      <x:c r="F19" t="str">
        <x:v>USD</x:v>
      </x:c>
      <x:c r="G19" s="16" t="n">
        <x:v>781</x:v>
      </x:c>
      <x:c r="H19" s="16" t="n">
        <x:v>47</x:v>
      </x:c>
      <x:c r="I19" s="14" t="n">
        <x:v>188.31</x:v>
      </x:c>
      <x:c r="J19" s="14" t="n">
        <x:v>47</x:v>
      </x:c>
      <x:c r="K19" s="14" t="n">
        <x:v>47</x:v>
      </x:c>
      <x:c r="L19" t="str">
        <x:v>Page View (Website)</x:v>
      </x:c>
      <x:c r="M19" s="18" t="n">
        <x:f>IFERROR(H19/G19,0)</x:f>
        <x:v>0.06017925736235595</x:v>
      </x:c>
      <x:c r="N19" s="18" t="n">
        <x:f>IFERROR(J19/H19,0)</x:f>
        <x:v>1</x:v>
      </x:c>
      <x:c r="O19" s="14" t="n">
        <x:f>IFERROR(I19/H19,0)</x:f>
        <x:v>4.006595744680851</x:v>
      </x:c>
      <x:c r="P19" s="14" t="n">
        <x:f>IFERROR(I19/J19,0)</x:f>
        <x:v>4.006595744680851</x:v>
      </x:c>
      <x:c r="Q19" s="20" t="n">
        <x:f>IFERROR(K19/I19,0)</x:f>
        <x:v>0.24958844458605492</x:v>
      </x:c>
    </x:row>
    <x:row r="20">
      <x:c r="A20" s="12" t="n">
        <x:v>46213</x:v>
      </x:c>
      <x:c r="B20" t="str">
        <x:v>Brand Search</x:v>
      </x:c>
      <x:c r="C20" t="str">
        <x:v>Enabled</x:v>
      </x:c>
      <x:c r="D20" t="str">
        <x:v>Search</x:v>
      </x:c>
      <x:c r="E20" s="14" t="n">
        <x:v>35</x:v>
      </x:c>
      <x:c r="F20" t="str">
        <x:v>USD</x:v>
      </x:c>
      <x:c r="G20" s="16" t="n">
        <x:v>91</x:v>
      </x:c>
      <x:c r="H20" s="16" t="n">
        <x:v>20</x:v>
      </x:c>
      <x:c r="I20" s="14" t="n">
        <x:v>40.31</x:v>
      </x:c>
      <x:c r="J20" s="14" t="n">
        <x:v>20</x:v>
      </x:c>
      <x:c r="K20" s="14" t="n">
        <x:v>20</x:v>
      </x:c>
      <x:c r="L20" t="str">
        <x:v>Page View (Website)</x:v>
      </x:c>
      <x:c r="M20" s="18" t="n">
        <x:f>IFERROR(H20/G20,0)</x:f>
        <x:v>0.21978021978021978</x:v>
      </x:c>
      <x:c r="N20" s="18" t="n">
        <x:f>IFERROR(J20/H20,0)</x:f>
        <x:v>1</x:v>
      </x:c>
      <x:c r="O20" s="14" t="n">
        <x:f>IFERROR(I20/H20,0)</x:f>
        <x:v>2.0155000000000003</x:v>
      </x:c>
      <x:c r="P20" s="14" t="n">
        <x:f>IFERROR(I20/J20,0)</x:f>
        <x:v>2.0155000000000003</x:v>
      </x:c>
      <x:c r="Q20" s="20" t="n">
        <x:f>IFERROR(K20/I20,0)</x:f>
        <x:v>0.4961548002976929</x:v>
      </x:c>
    </x:row>
    <x:row r="21">
      <x:c r="A21" s="12" t="n">
        <x:v>46213</x:v>
      </x:c>
      <x:c r="B21" t="str">
        <x:v>Nonbrand Search</x:v>
      </x:c>
      <x:c r="C21" t="str">
        <x:v>Enabled</x:v>
      </x:c>
      <x:c r="D21" t="str">
        <x:v>Search</x:v>
      </x:c>
      <x:c r="E21" s="14" t="n">
        <x:v>75</x:v>
      </x:c>
      <x:c r="F21" t="str">
        <x:v>USD</x:v>
      </x:c>
      <x:c r="G21" s="16" t="n">
        <x:v>782</x:v>
      </x:c>
      <x:c r="H21" s="16" t="n">
        <x:v>38</x:v>
      </x:c>
      <x:c r="I21" s="14" t="n">
        <x:v>160.33</x:v>
      </x:c>
      <x:c r="J21" s="14" t="n">
        <x:v>38</x:v>
      </x:c>
      <x:c r="K21" s="14" t="n">
        <x:v>38</x:v>
      </x:c>
      <x:c r="L21" t="str">
        <x:v>Page View (Website)</x:v>
      </x:c>
      <x:c r="M21" s="18" t="n">
        <x:f>IFERROR(H21/G21,0)</x:f>
        <x:v>0.04859335038363171</x:v>
      </x:c>
      <x:c r="N21" s="18" t="n">
        <x:f>IFERROR(J21/H21,0)</x:f>
        <x:v>1</x:v>
      </x:c>
      <x:c r="O21" s="14" t="n">
        <x:f>IFERROR(I21/H21,0)</x:f>
        <x:v>4.2192105263157895</x:v>
      </x:c>
      <x:c r="P21" s="14" t="n">
        <x:f>IFERROR(I21/J21,0)</x:f>
        <x:v>4.2192105263157895</x:v>
      </x:c>
      <x:c r="Q21" s="20" t="n">
        <x:f>IFERROR(K21/I21,0)</x:f>
        <x:v>0.23701116447327386</x:v>
      </x:c>
    </x:row>
    <x:row r="22">
      <x:c r="A22" s="12" t="n">
        <x:v>46214</x:v>
      </x:c>
      <x:c r="B22" t="str">
        <x:v>Brand Search</x:v>
      </x:c>
      <x:c r="C22" t="str">
        <x:v>Enabled</x:v>
      </x:c>
      <x:c r="D22" t="str">
        <x:v>Search</x:v>
      </x:c>
      <x:c r="E22" s="14" t="n">
        <x:v>35</x:v>
      </x:c>
      <x:c r="F22" t="str">
        <x:v>USD</x:v>
      </x:c>
      <x:c r="G22" s="16" t="n">
        <x:v>77</x:v>
      </x:c>
      <x:c r="H22" s="16" t="n">
        <x:v>17</x:v>
      </x:c>
      <x:c r="I22" s="14" t="n">
        <x:v>33.28</x:v>
      </x:c>
      <x:c r="J22" s="14" t="n">
        <x:v>17</x:v>
      </x:c>
      <x:c r="K22" s="14" t="n">
        <x:v>17</x:v>
      </x:c>
      <x:c r="L22" t="str">
        <x:v>Page View (Website)</x:v>
      </x:c>
      <x:c r="M22" s="18" t="n">
        <x:f>IFERROR(H22/G22,0)</x:f>
        <x:v>0.22077922077922077</x:v>
      </x:c>
      <x:c r="N22" s="18" t="n">
        <x:f>IFERROR(J22/H22,0)</x:f>
        <x:v>1</x:v>
      </x:c>
      <x:c r="O22" s="14" t="n">
        <x:f>IFERROR(I22/H22,0)</x:f>
        <x:v>1.9576470588235295</x:v>
      </x:c>
      <x:c r="P22" s="14" t="n">
        <x:f>IFERROR(I22/J22,0)</x:f>
        <x:v>1.9576470588235295</x:v>
      </x:c>
      <x:c r="Q22" s="20" t="n">
        <x:f>IFERROR(K22/I22,0)</x:f>
        <x:v>0.5108173076923077</x:v>
      </x:c>
    </x:row>
    <x:row r="23">
      <x:c r="A23" s="12" t="n">
        <x:v>46214</x:v>
      </x:c>
      <x:c r="B23" t="str">
        <x:v>Nonbrand Search</x:v>
      </x:c>
      <x:c r="C23" t="str">
        <x:v>Enabled</x:v>
      </x:c>
      <x:c r="D23" t="str">
        <x:v>Search</x:v>
      </x:c>
      <x:c r="E23" s="14" t="n">
        <x:v>75</x:v>
      </x:c>
      <x:c r="F23" t="str">
        <x:v>USD</x:v>
      </x:c>
      <x:c r="G23" s="16" t="n">
        <x:v>624</x:v>
      </x:c>
      <x:c r="H23" s="16" t="n">
        <x:v>31</x:v>
      </x:c>
      <x:c r="I23" s="14" t="n">
        <x:v>130.98</x:v>
      </x:c>
      <x:c r="J23" s="14" t="n">
        <x:v>31</x:v>
      </x:c>
      <x:c r="K23" s="14" t="n">
        <x:v>31</x:v>
      </x:c>
      <x:c r="L23" t="str">
        <x:v>Page View (Website)</x:v>
      </x:c>
      <x:c r="M23" s="18" t="n">
        <x:f>IFERROR(H23/G23,0)</x:f>
        <x:v>0.049679487179487176</x:v>
      </x:c>
      <x:c r="N23" s="18" t="n">
        <x:f>IFERROR(J23/H23,0)</x:f>
        <x:v>1</x:v>
      </x:c>
      <x:c r="O23" s="14" t="n">
        <x:f>IFERROR(I23/H23,0)</x:f>
        <x:v>4.22516129032258</x:v>
      </x:c>
      <x:c r="P23" s="14" t="n">
        <x:f>IFERROR(I23/J23,0)</x:f>
        <x:v>4.22516129032258</x:v>
      </x:c>
      <x:c r="Q23" s="20" t="n">
        <x:f>IFERROR(K23/I23,0)</x:f>
        <x:v>0.23667735532142314</x:v>
      </x:c>
    </x:row>
    <x:row r="24">
      <x:c r="A24" s="12" t="n">
        <x:v>46215</x:v>
      </x:c>
      <x:c r="B24" t="str">
        <x:v>Brand Search</x:v>
      </x:c>
      <x:c r="C24" t="str">
        <x:v>Enabled</x:v>
      </x:c>
      <x:c r="D24" t="str">
        <x:v>Search</x:v>
      </x:c>
      <x:c r="E24" s="14" t="n">
        <x:v>35</x:v>
      </x:c>
      <x:c r="F24" t="str">
        <x:v>USD</x:v>
      </x:c>
      <x:c r="G24" s="16" t="n">
        <x:v>74</x:v>
      </x:c>
      <x:c r="H24" s="16" t="n">
        <x:v>17</x:v>
      </x:c>
      <x:c r="I24" s="14" t="n">
        <x:v>28.74</x:v>
      </x:c>
      <x:c r="J24" s="14" t="n">
        <x:v>17</x:v>
      </x:c>
      <x:c r="K24" s="14" t="n">
        <x:v>17</x:v>
      </x:c>
      <x:c r="L24" t="str">
        <x:v>Page View (Website)</x:v>
      </x:c>
      <x:c r="M24" s="18" t="n">
        <x:f>IFERROR(H24/G24,0)</x:f>
        <x:v>0.22972972972972974</x:v>
      </x:c>
      <x:c r="N24" s="18" t="n">
        <x:f>IFERROR(J24/H24,0)</x:f>
        <x:v>1</x:v>
      </x:c>
      <x:c r="O24" s="14" t="n">
        <x:f>IFERROR(I24/H24,0)</x:f>
        <x:v>1.6905882352941175</x:v>
      </x:c>
      <x:c r="P24" s="14" t="n">
        <x:f>IFERROR(I24/J24,0)</x:f>
        <x:v>1.6905882352941175</x:v>
      </x:c>
      <x:c r="Q24" s="20" t="n">
        <x:f>IFERROR(K24/I24,0)</x:f>
        <x:v>0.5915100904662491</x:v>
      </x:c>
    </x:row>
    <x:row r="25">
      <x:c r="A25" s="12" t="n">
        <x:v>46215</x:v>
      </x:c>
      <x:c r="B25" t="str">
        <x:v>Nonbrand Search</x:v>
      </x:c>
      <x:c r="C25" t="str">
        <x:v>Enabled</x:v>
      </x:c>
      <x:c r="D25" t="str">
        <x:v>Search</x:v>
      </x:c>
      <x:c r="E25" s="14" t="n">
        <x:v>75</x:v>
      </x:c>
      <x:c r="F25" t="str">
        <x:v>USD</x:v>
      </x:c>
      <x:c r="G25" s="16" t="n">
        <x:v>607</x:v>
      </x:c>
      <x:c r="H25" s="16" t="n">
        <x:v>28</x:v>
      </x:c>
      <x:c r="I25" s="14" t="n">
        <x:v>108.59</x:v>
      </x:c>
      <x:c r="J25" s="14" t="n">
        <x:v>28</x:v>
      </x:c>
      <x:c r="K25" s="14" t="n">
        <x:v>28</x:v>
      </x:c>
      <x:c r="L25" t="str">
        <x:v>Page View (Website)</x:v>
      </x:c>
      <x:c r="M25" s="18" t="n">
        <x:f>IFERROR(H25/G25,0)</x:f>
        <x:v>0.04612850082372323</x:v>
      </x:c>
      <x:c r="N25" s="18" t="n">
        <x:f>IFERROR(J25/H25,0)</x:f>
        <x:v>1</x:v>
      </x:c>
      <x:c r="O25" s="14" t="n">
        <x:f>IFERROR(I25/H25,0)</x:f>
        <x:v>3.878214285714286</x:v>
      </x:c>
      <x:c r="P25" s="14" t="n">
        <x:f>IFERROR(I25/J25,0)</x:f>
        <x:v>3.878214285714286</x:v>
      </x:c>
      <x:c r="Q25" s="20" t="n">
        <x:f>IFERROR(K25/I25,0)</x:f>
        <x:v>0.25785063081315035</x:v>
      </x:c>
    </x:row>
    <x:row r="26">
      <x:c r="A26" s="12" t="n">
        <x:v>46216</x:v>
      </x:c>
      <x:c r="B26" t="str">
        <x:v>Brand Search</x:v>
      </x:c>
      <x:c r="C26" t="str">
        <x:v>Enabled</x:v>
      </x:c>
      <x:c r="D26" t="str">
        <x:v>Search</x:v>
      </x:c>
      <x:c r="E26" s="14" t="n">
        <x:v>35</x:v>
      </x:c>
      <x:c r="F26" t="str">
        <x:v>USD</x:v>
      </x:c>
      <x:c r="G26" s="16" t="n">
        <x:v>88</x:v>
      </x:c>
      <x:c r="H26" s="16" t="n">
        <x:v>22</x:v>
      </x:c>
      <x:c r="I26" s="14" t="n">
        <x:v>36.47</x:v>
      </x:c>
      <x:c r="J26" s="14" t="n">
        <x:v>22</x:v>
      </x:c>
      <x:c r="K26" s="14" t="n">
        <x:v>22</x:v>
      </x:c>
      <x:c r="L26" t="str">
        <x:v>Page View (Website)</x:v>
      </x:c>
      <x:c r="M26" s="18" t="n">
        <x:f>IFERROR(H26/G26,0)</x:f>
        <x:v>0.25</x:v>
      </x:c>
      <x:c r="N26" s="18" t="n">
        <x:f>IFERROR(J26/H26,0)</x:f>
        <x:v>1</x:v>
      </x:c>
      <x:c r="O26" s="14" t="n">
        <x:f>IFERROR(I26/H26,0)</x:f>
        <x:v>1.6577272727272727</x:v>
      </x:c>
      <x:c r="P26" s="14" t="n">
        <x:f>IFERROR(I26/J26,0)</x:f>
        <x:v>1.6577272727272727</x:v>
      </x:c>
      <x:c r="Q26" s="20" t="n">
        <x:f>IFERROR(K26/I26,0)</x:f>
        <x:v>0.6032355360570332</x:v>
      </x:c>
    </x:row>
    <x:row r="27">
      <x:c r="A27" s="12" t="n">
        <x:v>46216</x:v>
      </x:c>
      <x:c r="B27" t="str">
        <x:v>Nonbrand Search</x:v>
      </x:c>
      <x:c r="C27" t="str">
        <x:v>Enabled</x:v>
      </x:c>
      <x:c r="D27" t="str">
        <x:v>Search</x:v>
      </x:c>
      <x:c r="E27" s="14" t="n">
        <x:v>75</x:v>
      </x:c>
      <x:c r="F27" t="str">
        <x:v>USD</x:v>
      </x:c>
      <x:c r="G27" s="16" t="n">
        <x:v>743</x:v>
      </x:c>
      <x:c r="H27" s="16" t="n">
        <x:v>42</x:v>
      </x:c>
      <x:c r="I27" s="14" t="n">
        <x:v>165.51</x:v>
      </x:c>
      <x:c r="J27" s="14" t="n">
        <x:v>42</x:v>
      </x:c>
      <x:c r="K27" s="14" t="n">
        <x:v>42</x:v>
      </x:c>
      <x:c r="L27" t="str">
        <x:v>Page View (Website)</x:v>
      </x:c>
      <x:c r="M27" s="18" t="n">
        <x:f>IFERROR(H27/G27,0)</x:f>
        <x:v>0.05652759084791386</x:v>
      </x:c>
      <x:c r="N27" s="18" t="n">
        <x:f>IFERROR(J27/H27,0)</x:f>
        <x:v>1</x:v>
      </x:c>
      <x:c r="O27" s="14" t="n">
        <x:f>IFERROR(I27/H27,0)</x:f>
        <x:v>3.9407142857142854</x:v>
      </x:c>
      <x:c r="P27" s="14" t="n">
        <x:f>IFERROR(I27/J27,0)</x:f>
        <x:v>3.9407142857142854</x:v>
      </x:c>
      <x:c r="Q27" s="20" t="n">
        <x:f>IFERROR(K27/I27,0)</x:f>
        <x:v>0.2537611020482146</x:v>
      </x:c>
    </x:row>
    <x:row r="28">
      <x:c r="A28" s="12" t="n">
        <x:v>46217</x:v>
      </x:c>
      <x:c r="B28" t="str">
        <x:v>Brand Search</x:v>
      </x:c>
      <x:c r="C28" t="str">
        <x:v>Enabled</x:v>
      </x:c>
      <x:c r="D28" t="str">
        <x:v>Search</x:v>
      </x:c>
      <x:c r="E28" s="14" t="n">
        <x:v>35</x:v>
      </x:c>
      <x:c r="F28" t="str">
        <x:v>USD</x:v>
      </x:c>
      <x:c r="G28" s="16" t="n">
        <x:v>81</x:v>
      </x:c>
      <x:c r="H28" s="16" t="n">
        <x:v>20</x:v>
      </x:c>
      <x:c r="I28" s="14" t="n">
        <x:v>40.39</x:v>
      </x:c>
      <x:c r="J28" s="14" t="n">
        <x:v>20</x:v>
      </x:c>
      <x:c r="K28" s="14" t="n">
        <x:v>20</x:v>
      </x:c>
      <x:c r="L28" t="str">
        <x:v>Page View (Website)</x:v>
      </x:c>
      <x:c r="M28" s="18" t="n">
        <x:f>IFERROR(H28/G28,0)</x:f>
        <x:v>0.24691358024691357</x:v>
      </x:c>
      <x:c r="N28" s="18" t="n">
        <x:f>IFERROR(J28/H28,0)</x:f>
        <x:v>1</x:v>
      </x:c>
      <x:c r="O28" s="14" t="n">
        <x:f>IFERROR(I28/H28,0)</x:f>
        <x:v>2.0195</x:v>
      </x:c>
      <x:c r="P28" s="14" t="n">
        <x:f>IFERROR(I28/J28,0)</x:f>
        <x:v>2.0195</x:v>
      </x:c>
      <x:c r="Q28" s="20" t="n">
        <x:f>IFERROR(K28/I28,0)</x:f>
        <x:v>0.49517207229512256</x:v>
      </x:c>
    </x:row>
    <x:row r="29">
      <x:c r="A29" s="12" t="n">
        <x:v>46217</x:v>
      </x:c>
      <x:c r="B29" t="str">
        <x:v>Nonbrand Search</x:v>
      </x:c>
      <x:c r="C29" t="str">
        <x:v>Enabled</x:v>
      </x:c>
      <x:c r="D29" t="str">
        <x:v>Search</x:v>
      </x:c>
      <x:c r="E29" s="14" t="n">
        <x:v>75</x:v>
      </x:c>
      <x:c r="F29" t="str">
        <x:v>USD</x:v>
      </x:c>
      <x:c r="G29" s="16" t="n">
        <x:v>772</x:v>
      </x:c>
      <x:c r="H29" s="16" t="n">
        <x:v>39</x:v>
      </x:c>
      <x:c r="I29" s="14" t="n">
        <x:v>151.28</x:v>
      </x:c>
      <x:c r="J29" s="14" t="n">
        <x:v>39</x:v>
      </x:c>
      <x:c r="K29" s="14" t="n">
        <x:v>39</x:v>
      </x:c>
      <x:c r="L29" t="str">
        <x:v>Page View (Website)</x:v>
      </x:c>
      <x:c r="M29" s="18" t="n">
        <x:f>IFERROR(H29/G29,0)</x:f>
        <x:v>0.050518134715025906</x:v>
      </x:c>
      <x:c r="N29" s="18" t="n">
        <x:f>IFERROR(J29/H29,0)</x:f>
        <x:v>1</x:v>
      </x:c>
      <x:c r="O29" s="14" t="n">
        <x:f>IFERROR(I29/H29,0)</x:f>
        <x:v>3.878974358974359</x:v>
      </x:c>
      <x:c r="P29" s="14" t="n">
        <x:f>IFERROR(I29/J29,0)</x:f>
        <x:v>3.878974358974359</x:v>
      </x:c>
      <x:c r="Q29" s="20" t="n">
        <x:f>IFERROR(K29/I29,0)</x:f>
        <x:v>0.25780010576414597</x:v>
      </x:c>
    </x:row>
    <x:row r="30">
      <x:c r="A30" s="12" t="n">
        <x:v>46218</x:v>
      </x:c>
      <x:c r="B30" t="str">
        <x:v>Brand Search</x:v>
      </x:c>
      <x:c r="C30" t="str">
        <x:v>Enabled</x:v>
      </x:c>
      <x:c r="D30" t="str">
        <x:v>Search</x:v>
      </x:c>
      <x:c r="E30" s="14" t="n">
        <x:v>35</x:v>
      </x:c>
      <x:c r="F30" t="str">
        <x:v>USD</x:v>
      </x:c>
      <x:c r="G30" s="16" t="n">
        <x:v>91</x:v>
      </x:c>
      <x:c r="H30" s="16" t="n">
        <x:v>20</x:v>
      </x:c>
      <x:c r="I30" s="14" t="n">
        <x:v>38.95</x:v>
      </x:c>
      <x:c r="J30" s="14" t="n">
        <x:v>20</x:v>
      </x:c>
      <x:c r="K30" s="14" t="n">
        <x:v>20</x:v>
      </x:c>
      <x:c r="L30" t="str">
        <x:v>Page View (Website)</x:v>
      </x:c>
      <x:c r="M30" s="18" t="n">
        <x:f>IFERROR(H30/G30,0)</x:f>
        <x:v>0.21978021978021978</x:v>
      </x:c>
      <x:c r="N30" s="18" t="n">
        <x:f>IFERROR(J30/H30,0)</x:f>
        <x:v>1</x:v>
      </x:c>
      <x:c r="O30" s="14" t="n">
        <x:f>IFERROR(I30/H30,0)</x:f>
        <x:v>1.9475000000000002</x:v>
      </x:c>
      <x:c r="P30" s="14" t="n">
        <x:f>IFERROR(I30/J30,0)</x:f>
        <x:v>1.9475000000000002</x:v>
      </x:c>
      <x:c r="Q30" s="20" t="n">
        <x:f>IFERROR(K30/I30,0)</x:f>
        <x:v>0.5134788189987163</x:v>
      </x:c>
    </x:row>
    <x:row r="31">
      <x:c r="A31" s="12" t="n">
        <x:v>46218</x:v>
      </x:c>
      <x:c r="B31" t="str">
        <x:v>Nonbrand Search</x:v>
      </x:c>
      <x:c r="C31" t="str">
        <x:v>Enabled</x:v>
      </x:c>
      <x:c r="D31" t="str">
        <x:v>Search</x:v>
      </x:c>
      <x:c r="E31" s="14" t="n">
        <x:v>75</x:v>
      </x:c>
      <x:c r="F31" t="str">
        <x:v>USD</x:v>
      </x:c>
      <x:c r="G31" s="16" t="n">
        <x:v>751</x:v>
      </x:c>
      <x:c r="H31" s="16" t="n">
        <x:v>38</x:v>
      </x:c>
      <x:c r="I31" s="14" t="n">
        <x:v>148.53</x:v>
      </x:c>
      <x:c r="J31" s="14" t="n">
        <x:v>38</x:v>
      </x:c>
      <x:c r="K31" s="14" t="n">
        <x:v>38</x:v>
      </x:c>
      <x:c r="L31" t="str">
        <x:v>Page View (Website)</x:v>
      </x:c>
      <x:c r="M31" s="18" t="n">
        <x:f>IFERROR(H31/G31,0)</x:f>
        <x:v>0.05059920106524634</x:v>
      </x:c>
      <x:c r="N31" s="18" t="n">
        <x:f>IFERROR(J31/H31,0)</x:f>
        <x:v>1</x:v>
      </x:c>
      <x:c r="O31" s="14" t="n">
        <x:f>IFERROR(I31/H31,0)</x:f>
        <x:v>3.908684210526316</x:v>
      </x:c>
      <x:c r="P31" s="14" t="n">
        <x:f>IFERROR(I31/J31,0)</x:f>
        <x:v>3.908684210526316</x:v>
      </x:c>
      <x:c r="Q31" s="20" t="n">
        <x:f>IFERROR(K31/I31,0)</x:f>
        <x:v>0.255840570928432</x:v>
      </x:c>
    </x:row>
    <x:row r="32">
      <x:c r="A32" s="12" t="n">
        <x:v>46219</x:v>
      </x:c>
      <x:c r="B32" t="str">
        <x:v>Brand Search</x:v>
      </x:c>
      <x:c r="C32" t="str">
        <x:v>Enabled</x:v>
      </x:c>
      <x:c r="D32" t="str">
        <x:v>Search</x:v>
      </x:c>
      <x:c r="E32" s="14" t="n">
        <x:v>35</x:v>
      </x:c>
      <x:c r="F32" t="str">
        <x:v>USD</x:v>
      </x:c>
      <x:c r="G32" s="16" t="n">
        <x:v>79</x:v>
      </x:c>
      <x:c r="H32" s="16" t="n">
        <x:v>20</x:v>
      </x:c>
      <x:c r="I32" s="14" t="n">
        <x:v>38.22</x:v>
      </x:c>
      <x:c r="J32" s="14" t="n">
        <x:v>20</x:v>
      </x:c>
      <x:c r="K32" s="14" t="n">
        <x:v>20</x:v>
      </x:c>
      <x:c r="L32" t="str">
        <x:v>Page View (Website)</x:v>
      </x:c>
      <x:c r="M32" s="18" t="n">
        <x:f>IFERROR(H32/G32,0)</x:f>
        <x:v>0.25316455696202533</x:v>
      </x:c>
      <x:c r="N32" s="18" t="n">
        <x:f>IFERROR(J32/H32,0)</x:f>
        <x:v>1</x:v>
      </x:c>
      <x:c r="O32" s="14" t="n">
        <x:f>IFERROR(I32/H32,0)</x:f>
        <x:v>1.911</x:v>
      </x:c>
      <x:c r="P32" s="14" t="n">
        <x:f>IFERROR(I32/J32,0)</x:f>
        <x:v>1.911</x:v>
      </x:c>
      <x:c r="Q32" s="20" t="n">
        <x:f>IFERROR(K32/I32,0)</x:f>
        <x:v>0.5232862375719519</x:v>
      </x:c>
    </x:row>
    <x:row r="33">
      <x:c r="A33" s="12" t="n">
        <x:v>46219</x:v>
      </x:c>
      <x:c r="B33" t="str">
        <x:v>Nonbrand Search</x:v>
      </x:c>
      <x:c r="C33" t="str">
        <x:v>Enabled</x:v>
      </x:c>
      <x:c r="D33" t="str">
        <x:v>Search</x:v>
      </x:c>
      <x:c r="E33" s="14" t="n">
        <x:v>75</x:v>
      </x:c>
      <x:c r="F33" t="str">
        <x:v>USD</x:v>
      </x:c>
      <x:c r="G33" s="16" t="n">
        <x:v>719</x:v>
      </x:c>
      <x:c r="H33" s="16" t="n">
        <x:v>35</x:v>
      </x:c>
      <x:c r="I33" s="14" t="n">
        <x:v>136.54</x:v>
      </x:c>
      <x:c r="J33" s="14" t="n">
        <x:v>35</x:v>
      </x:c>
      <x:c r="K33" s="14" t="n">
        <x:v>35</x:v>
      </x:c>
      <x:c r="L33" t="str">
        <x:v>Page View (Website)</x:v>
      </x:c>
      <x:c r="M33" s="18" t="n">
        <x:f>IFERROR(H33/G33,0)</x:f>
        <x:v>0.048678720445062586</x:v>
      </x:c>
      <x:c r="N33" s="18" t="n">
        <x:f>IFERROR(J33/H33,0)</x:f>
        <x:v>1</x:v>
      </x:c>
      <x:c r="O33" s="14" t="n">
        <x:f>IFERROR(I33/H33,0)</x:f>
        <x:v>3.901142857142857</x:v>
      </x:c>
      <x:c r="P33" s="14" t="n">
        <x:f>IFERROR(I33/J33,0)</x:f>
        <x:v>3.901142857142857</x:v>
      </x:c>
      <x:c r="Q33" s="20" t="n">
        <x:f>IFERROR(K33/I33,0)</x:f>
        <x:v>0.2563351398857478</x:v>
      </x:c>
    </x:row>
    <x:row r="34">
      <x:c r="A34" s="12" t="n">
        <x:v>46220</x:v>
      </x:c>
      <x:c r="B34" t="str">
        <x:v>Brand Search</x:v>
      </x:c>
      <x:c r="C34" t="str">
        <x:v>Enabled</x:v>
      </x:c>
      <x:c r="D34" t="str">
        <x:v>Search</x:v>
      </x:c>
      <x:c r="E34" s="14" t="n">
        <x:v>35</x:v>
      </x:c>
      <x:c r="F34" t="str">
        <x:v>USD</x:v>
      </x:c>
      <x:c r="G34" s="16" t="n">
        <x:v>91</x:v>
      </x:c>
      <x:c r="H34" s="16" t="n">
        <x:v>23</x:v>
      </x:c>
      <x:c r="I34" s="14" t="n">
        <x:v>42.43</x:v>
      </x:c>
      <x:c r="J34" s="14" t="n">
        <x:v>23</x:v>
      </x:c>
      <x:c r="K34" s="14" t="n">
        <x:v>23</x:v>
      </x:c>
      <x:c r="L34" t="str">
        <x:v>Page View (Website)</x:v>
      </x:c>
      <x:c r="M34" s="18" t="n">
        <x:f>IFERROR(H34/G34,0)</x:f>
        <x:v>0.25274725274725274</x:v>
      </x:c>
      <x:c r="N34" s="18" t="n">
        <x:f>IFERROR(J34/H34,0)</x:f>
        <x:v>1</x:v>
      </x:c>
      <x:c r="O34" s="14" t="n">
        <x:f>IFERROR(I34/H34,0)</x:f>
        <x:v>1.8447826086956522</x:v>
      </x:c>
      <x:c r="P34" s="14" t="n">
        <x:f>IFERROR(I34/J34,0)</x:f>
        <x:v>1.8447826086956522</x:v>
      </x:c>
      <x:c r="Q34" s="20" t="n">
        <x:f>IFERROR(K34/I34,0)</x:f>
        <x:v>0.5420692905962762</x:v>
      </x:c>
    </x:row>
    <x:row r="35">
      <x:c r="A35" s="12" t="n">
        <x:v>46220</x:v>
      </x:c>
      <x:c r="B35" t="str">
        <x:v>Nonbrand Search</x:v>
      </x:c>
      <x:c r="C35" t="str">
        <x:v>Enabled</x:v>
      </x:c>
      <x:c r="D35" t="str">
        <x:v>Search</x:v>
      </x:c>
      <x:c r="E35" s="14" t="n">
        <x:v>75</x:v>
      </x:c>
      <x:c r="F35" t="str">
        <x:v>USD</x:v>
      </x:c>
      <x:c r="G35" s="16" t="n">
        <x:v>642</x:v>
      </x:c>
      <x:c r="H35" s="16" t="n">
        <x:v>40</x:v>
      </x:c>
      <x:c r="I35" s="14" t="n">
        <x:v>167.84</x:v>
      </x:c>
      <x:c r="J35" s="14" t="n">
        <x:v>40</x:v>
      </x:c>
      <x:c r="K35" s="14" t="n">
        <x:v>40</x:v>
      </x:c>
      <x:c r="L35" t="str">
        <x:v>Page View (Website)</x:v>
      </x:c>
      <x:c r="M35" s="18" t="n">
        <x:f>IFERROR(H35/G35,0)</x:f>
        <x:v>0.06230529595015576</x:v>
      </x:c>
      <x:c r="N35" s="18" t="n">
        <x:f>IFERROR(J35/H35,0)</x:f>
        <x:v>1</x:v>
      </x:c>
      <x:c r="O35" s="14" t="n">
        <x:f>IFERROR(I35/H35,0)</x:f>
        <x:v>4.196</x:v>
      </x:c>
      <x:c r="P35" s="14" t="n">
        <x:f>IFERROR(I35/J35,0)</x:f>
        <x:v>4.196</x:v>
      </x:c>
      <x:c r="Q35" s="20" t="n">
        <x:f>IFERROR(K35/I35,0)</x:f>
        <x:v>0.23832221163012393</x:v>
      </x:c>
    </x:row>
    <x:row r="36">
      <x:c r="A36" s="12" t="n">
        <x:v>46221</x:v>
      </x:c>
      <x:c r="B36" t="str">
        <x:v>Brand Search</x:v>
      </x:c>
      <x:c r="C36" t="str">
        <x:v>Enabled</x:v>
      </x:c>
      <x:c r="D36" t="str">
        <x:v>Search</x:v>
      </x:c>
      <x:c r="E36" s="14" t="n">
        <x:v>35</x:v>
      </x:c>
      <x:c r="F36" t="str">
        <x:v>USD</x:v>
      </x:c>
      <x:c r="G36" s="16" t="n">
        <x:v>62</x:v>
      </x:c>
      <x:c r="H36" s="16" t="n">
        <x:v>14</x:v>
      </x:c>
      <x:c r="I36" s="14" t="n">
        <x:v>26.31</x:v>
      </x:c>
      <x:c r="J36" s="14" t="n">
        <x:v>14</x:v>
      </x:c>
      <x:c r="K36" s="14" t="n">
        <x:v>14</x:v>
      </x:c>
      <x:c r="L36" t="str">
        <x:v>Page View (Website)</x:v>
      </x:c>
      <x:c r="M36" s="18" t="n">
        <x:f>IFERROR(H36/G36,0)</x:f>
        <x:v>0.22580645161290322</x:v>
      </x:c>
      <x:c r="N36" s="18" t="n">
        <x:f>IFERROR(J36/H36,0)</x:f>
        <x:v>1</x:v>
      </x:c>
      <x:c r="O36" s="14" t="n">
        <x:f>IFERROR(I36/H36,0)</x:f>
        <x:v>1.8792857142857142</x:v>
      </x:c>
      <x:c r="P36" s="14" t="n">
        <x:f>IFERROR(I36/J36,0)</x:f>
        <x:v>1.8792857142857142</x:v>
      </x:c>
      <x:c r="Q36" s="20" t="n">
        <x:f>IFERROR(K36/I36,0)</x:f>
        <x:v>0.532117065754466</x:v>
      </x:c>
    </x:row>
    <x:row r="37">
      <x:c r="A37" s="12" t="n">
        <x:v>46221</x:v>
      </x:c>
      <x:c r="B37" t="str">
        <x:v>Nonbrand Search</x:v>
      </x:c>
      <x:c r="C37" t="str">
        <x:v>Enabled</x:v>
      </x:c>
      <x:c r="D37" t="str">
        <x:v>Search</x:v>
      </x:c>
      <x:c r="E37" s="14" t="n">
        <x:v>75</x:v>
      </x:c>
      <x:c r="F37" t="str">
        <x:v>USD</x:v>
      </x:c>
      <x:c r="G37" s="16" t="n">
        <x:v>480</x:v>
      </x:c>
      <x:c r="H37" s="16" t="n">
        <x:v>22</x:v>
      </x:c>
      <x:c r="I37" s="14" t="n">
        <x:v>84.93</x:v>
      </x:c>
      <x:c r="J37" s="14" t="n">
        <x:v>22</x:v>
      </x:c>
      <x:c r="K37" s="14" t="n">
        <x:v>22</x:v>
      </x:c>
      <x:c r="L37" t="str">
        <x:v>Page View (Website)</x:v>
      </x:c>
      <x:c r="M37" s="18" t="n">
        <x:f>IFERROR(H37/G37,0)</x:f>
        <x:v>0.04583333333333333</x:v>
      </x:c>
      <x:c r="N37" s="18" t="n">
        <x:f>IFERROR(J37/H37,0)</x:f>
        <x:v>1</x:v>
      </x:c>
      <x:c r="O37" s="14" t="n">
        <x:f>IFERROR(I37/H37,0)</x:f>
        <x:v>3.860454545454546</x:v>
      </x:c>
      <x:c r="P37" s="14" t="n">
        <x:f>IFERROR(I37/J37,0)</x:f>
        <x:v>3.860454545454546</x:v>
      </x:c>
      <x:c r="Q37" s="20" t="n">
        <x:f>IFERROR(K37/I37,0)</x:f>
        <x:v>0.2590368538796656</x:v>
      </x:c>
    </x:row>
    <x:row r="38">
      <x:c r="A38" s="12" t="n">
        <x:v>46222</x:v>
      </x:c>
      <x:c r="B38" t="str">
        <x:v>Brand Search</x:v>
      </x:c>
      <x:c r="C38" t="str">
        <x:v>Enabled</x:v>
      </x:c>
      <x:c r="D38" t="str">
        <x:v>Search</x:v>
      </x:c>
      <x:c r="E38" s="14" t="n">
        <x:v>35</x:v>
      </x:c>
      <x:c r="F38" t="str">
        <x:v>USD</x:v>
      </x:c>
      <x:c r="G38" s="16" t="n">
        <x:v>56</x:v>
      </x:c>
      <x:c r="H38" s="16" t="n">
        <x:v>12</x:v>
      </x:c>
      <x:c r="I38" s="14" t="n">
        <x:v>22.46</x:v>
      </x:c>
      <x:c r="J38" s="14" t="n">
        <x:v>12</x:v>
      </x:c>
      <x:c r="K38" s="14" t="n">
        <x:v>12</x:v>
      </x:c>
      <x:c r="L38" t="str">
        <x:v>Page View (Website)</x:v>
      </x:c>
      <x:c r="M38" s="18" t="n">
        <x:f>IFERROR(H38/G38,0)</x:f>
        <x:v>0.21428571428571427</x:v>
      </x:c>
      <x:c r="N38" s="18" t="n">
        <x:f>IFERROR(J38/H38,0)</x:f>
        <x:v>1</x:v>
      </x:c>
      <x:c r="O38" s="14" t="n">
        <x:f>IFERROR(I38/H38,0)</x:f>
        <x:v>1.8716666666666668</x:v>
      </x:c>
      <x:c r="P38" s="14" t="n">
        <x:f>IFERROR(I38/J38,0)</x:f>
        <x:v>1.8716666666666668</x:v>
      </x:c>
      <x:c r="Q38" s="20" t="n">
        <x:f>IFERROR(K38/I38,0)</x:f>
        <x:v>0.5342831700801425</x:v>
      </x:c>
    </x:row>
    <x:row r="39">
      <x:c r="A39" s="12" t="n">
        <x:v>46222</x:v>
      </x:c>
      <x:c r="B39" t="str">
        <x:v>Nonbrand Search</x:v>
      </x:c>
      <x:c r="C39" t="str">
        <x:v>Enabled</x:v>
      </x:c>
      <x:c r="D39" t="str">
        <x:v>Search</x:v>
      </x:c>
      <x:c r="E39" s="14" t="n">
        <x:v>75</x:v>
      </x:c>
      <x:c r="F39" t="str">
        <x:v>USD</x:v>
      </x:c>
      <x:c r="G39" s="16" t="n">
        <x:v>498</x:v>
      </x:c>
      <x:c r="H39" s="16" t="n">
        <x:v>27</x:v>
      </x:c>
      <x:c r="I39" s="14" t="n">
        <x:v>114.87</x:v>
      </x:c>
      <x:c r="J39" s="14" t="n">
        <x:v>27</x:v>
      </x:c>
      <x:c r="K39" s="14" t="n">
        <x:v>27</x:v>
      </x:c>
      <x:c r="L39" t="str">
        <x:v>Page View (Website)</x:v>
      </x:c>
      <x:c r="M39" s="18" t="n">
        <x:f>IFERROR(H39/G39,0)</x:f>
        <x:v>0.05421686746987952</x:v>
      </x:c>
      <x:c r="N39" s="18" t="n">
        <x:f>IFERROR(J39/H39,0)</x:f>
        <x:v>1</x:v>
      </x:c>
      <x:c r="O39" s="14" t="n">
        <x:f>IFERROR(I39/H39,0)</x:f>
        <x:v>4.254444444444444</x:v>
      </x:c>
      <x:c r="P39" s="14" t="n">
        <x:f>IFERROR(I39/J39,0)</x:f>
        <x:v>4.254444444444444</x:v>
      </x:c>
      <x:c r="Q39" s="20" t="n">
        <x:f>IFERROR(K39/I39,0)</x:f>
        <x:v>0.23504831548707233</x:v>
      </x:c>
    </x:row>
    <x:row r="40">
      <x:c r="A40" s="12" t="n">
        <x:v>46223</x:v>
      </x:c>
      <x:c r="B40" t="str">
        <x:v>Brand Search</x:v>
      </x:c>
      <x:c r="C40" t="str">
        <x:v>Enabled</x:v>
      </x:c>
      <x:c r="D40" t="str">
        <x:v>Search</x:v>
      </x:c>
      <x:c r="E40" s="14" t="n">
        <x:v>35</x:v>
      </x:c>
      <x:c r="F40" t="str">
        <x:v>USD</x:v>
      </x:c>
      <x:c r="G40" s="16" t="n">
        <x:v>79</x:v>
      </x:c>
      <x:c r="H40" s="16" t="n">
        <x:v>19</x:v>
      </x:c>
      <x:c r="I40" s="14" t="n">
        <x:v>36.59</x:v>
      </x:c>
      <x:c r="J40" s="14" t="n">
        <x:v>19</x:v>
      </x:c>
      <x:c r="K40" s="14" t="n">
        <x:v>19</x:v>
      </x:c>
      <x:c r="L40" t="str">
        <x:v>Page View (Website)</x:v>
      </x:c>
      <x:c r="M40" s="18" t="n">
        <x:f>IFERROR(H40/G40,0)</x:f>
        <x:v>0.24050632911392406</x:v>
      </x:c>
      <x:c r="N40" s="18" t="n">
        <x:f>IFERROR(J40/H40,0)</x:f>
        <x:v>1</x:v>
      </x:c>
      <x:c r="O40" s="14" t="n">
        <x:f>IFERROR(I40/H40,0)</x:f>
        <x:v>1.9257894736842107</x:v>
      </x:c>
      <x:c r="P40" s="14" t="n">
        <x:f>IFERROR(I40/J40,0)</x:f>
        <x:v>1.9257894736842107</x:v>
      </x:c>
      <x:c r="Q40" s="20" t="n">
        <x:f>IFERROR(K40/I40,0)</x:f>
        <x:v>0.5192675594424706</x:v>
      </x:c>
    </x:row>
    <x:row r="41">
      <x:c r="A41" s="12" t="n">
        <x:v>46223</x:v>
      </x:c>
      <x:c r="B41" t="str">
        <x:v>Nonbrand Search</x:v>
      </x:c>
      <x:c r="C41" t="str">
        <x:v>Enabled</x:v>
      </x:c>
      <x:c r="D41" t="str">
        <x:v>Search</x:v>
      </x:c>
      <x:c r="E41" s="14" t="n">
        <x:v>75</x:v>
      </x:c>
      <x:c r="F41" t="str">
        <x:v>USD</x:v>
      </x:c>
      <x:c r="G41" s="16" t="n">
        <x:v>658</x:v>
      </x:c>
      <x:c r="H41" s="16" t="n">
        <x:v>35</x:v>
      </x:c>
      <x:c r="I41" s="14" t="n">
        <x:v>135.91</x:v>
      </x:c>
      <x:c r="J41" s="14" t="n">
        <x:v>35</x:v>
      </x:c>
      <x:c r="K41" s="14" t="n">
        <x:v>35</x:v>
      </x:c>
      <x:c r="L41" t="str">
        <x:v>Page View (Website)</x:v>
      </x:c>
      <x:c r="M41" s="18" t="n">
        <x:f>IFERROR(H41/G41,0)</x:f>
        <x:v>0.05319148936170213</x:v>
      </x:c>
      <x:c r="N41" s="18" t="n">
        <x:f>IFERROR(J41/H41,0)</x:f>
        <x:v>1</x:v>
      </x:c>
      <x:c r="O41" s="14" t="n">
        <x:f>IFERROR(I41/H41,0)</x:f>
        <x:v>3.883142857142857</x:v>
      </x:c>
      <x:c r="P41" s="14" t="n">
        <x:f>IFERROR(I41/J41,0)</x:f>
        <x:v>3.883142857142857</x:v>
      </x:c>
      <x:c r="Q41" s="20" t="n">
        <x:f>IFERROR(K41/I41,0)</x:f>
        <x:v>0.2575233610477522</x:v>
      </x:c>
    </x:row>
    <x:row r="42">
      <x:c r="A42" s="12" t="n">
        <x:v>46224</x:v>
      </x:c>
      <x:c r="B42" t="str">
        <x:v>Brand Search</x:v>
      </x:c>
      <x:c r="C42" t="str">
        <x:v>Enabled</x:v>
      </x:c>
      <x:c r="D42" t="str">
        <x:v>Search</x:v>
      </x:c>
      <x:c r="E42" s="14" t="n">
        <x:v>35</x:v>
      </x:c>
      <x:c r="F42" t="str">
        <x:v>USD</x:v>
      </x:c>
      <x:c r="G42" s="16" t="n">
        <x:v>80</x:v>
      </x:c>
      <x:c r="H42" s="16" t="n">
        <x:v>17</x:v>
      </x:c>
      <x:c r="I42" s="14" t="n">
        <x:v>31.85</x:v>
      </x:c>
      <x:c r="J42" s="14" t="n">
        <x:v>17</x:v>
      </x:c>
      <x:c r="K42" s="14" t="n">
        <x:v>17</x:v>
      </x:c>
      <x:c r="L42" t="str">
        <x:v>Page View (Website)</x:v>
      </x:c>
      <x:c r="M42" s="18" t="n">
        <x:f>IFERROR(H42/G42,0)</x:f>
        <x:v>0.2125</x:v>
      </x:c>
      <x:c r="N42" s="18" t="n">
        <x:f>IFERROR(J42/H42,0)</x:f>
        <x:v>1</x:v>
      </x:c>
      <x:c r="O42" s="14" t="n">
        <x:f>IFERROR(I42/H42,0)</x:f>
        <x:v>1.8735294117647059</x:v>
      </x:c>
      <x:c r="P42" s="14" t="n">
        <x:f>IFERROR(I42/J42,0)</x:f>
        <x:v>1.8735294117647059</x:v>
      </x:c>
      <x:c r="Q42" s="20" t="n">
        <x:f>IFERROR(K42/I42,0)</x:f>
        <x:v>0.5337519623233908</x:v>
      </x:c>
    </x:row>
    <x:row r="43">
      <x:c r="A43" s="12" t="n">
        <x:v>46224</x:v>
      </x:c>
      <x:c r="B43" t="str">
        <x:v>Nonbrand Search</x:v>
      </x:c>
      <x:c r="C43" t="str">
        <x:v>Enabled</x:v>
      </x:c>
      <x:c r="D43" t="str">
        <x:v>Search</x:v>
      </x:c>
      <x:c r="E43" s="14" t="n">
        <x:v>75</x:v>
      </x:c>
      <x:c r="F43" t="str">
        <x:v>USD</x:v>
      </x:c>
      <x:c r="G43" s="16" t="n">
        <x:v>689</x:v>
      </x:c>
      <x:c r="H43" s="16" t="n">
        <x:v>34</x:v>
      </x:c>
      <x:c r="I43" s="14" t="n">
        <x:v>139.66</x:v>
      </x:c>
      <x:c r="J43" s="14" t="n">
        <x:v>34</x:v>
      </x:c>
      <x:c r="K43" s="14" t="n">
        <x:v>34</x:v>
      </x:c>
      <x:c r="L43" t="str">
        <x:v>Page View (Website)</x:v>
      </x:c>
      <x:c r="M43" s="18" t="n">
        <x:f>IFERROR(H43/G43,0)</x:f>
        <x:v>0.04934687953555878</x:v>
      </x:c>
      <x:c r="N43" s="18" t="n">
        <x:f>IFERROR(J43/H43,0)</x:f>
        <x:v>1</x:v>
      </x:c>
      <x:c r="O43" s="14" t="n">
        <x:f>IFERROR(I43/H43,0)</x:f>
        <x:v>4.107647058823529</x:v>
      </x:c>
      <x:c r="P43" s="14" t="n">
        <x:f>IFERROR(I43/J43,0)</x:f>
        <x:v>4.107647058823529</x:v>
      </x:c>
      <x:c r="Q43" s="20" t="n">
        <x:f>IFERROR(K43/I43,0)</x:f>
        <x:v>0.24344837462408708</x:v>
      </x:c>
    </x:row>
    <x:row r="44">
      <x:c r="A44" s="12" t="n">
        <x:v>46225</x:v>
      </x:c>
      <x:c r="B44" t="str">
        <x:v>Brand Search</x:v>
      </x:c>
      <x:c r="C44" t="str">
        <x:v>Enabled</x:v>
      </x:c>
      <x:c r="D44" t="str">
        <x:v>Search</x:v>
      </x:c>
      <x:c r="E44" s="14" t="n">
        <x:v>35</x:v>
      </x:c>
      <x:c r="F44" t="str">
        <x:v>USD</x:v>
      </x:c>
      <x:c r="G44" s="16" t="n">
        <x:v>81</x:v>
      </x:c>
      <x:c r="H44" s="16" t="n">
        <x:v>18</x:v>
      </x:c>
      <x:c r="I44" s="14" t="n">
        <x:v>31.96</x:v>
      </x:c>
      <x:c r="J44" s="14" t="n">
        <x:v>18</x:v>
      </x:c>
      <x:c r="K44" s="14" t="n">
        <x:v>18</x:v>
      </x:c>
      <x:c r="L44" t="str">
        <x:v>Page View (Website)</x:v>
      </x:c>
      <x:c r="M44" s="18" t="n">
        <x:f>IFERROR(H44/G44,0)</x:f>
        <x:v>0.2222222222222222</x:v>
      </x:c>
      <x:c r="N44" s="18" t="n">
        <x:f>IFERROR(J44/H44,0)</x:f>
        <x:v>1</x:v>
      </x:c>
      <x:c r="O44" s="14" t="n">
        <x:f>IFERROR(I44/H44,0)</x:f>
        <x:v>1.7755555555555556</x:v>
      </x:c>
      <x:c r="P44" s="14" t="n">
        <x:f>IFERROR(I44/J44,0)</x:f>
        <x:v>1.7755555555555556</x:v>
      </x:c>
      <x:c r="Q44" s="20" t="n">
        <x:f>IFERROR(K44/I44,0)</x:f>
        <x:v>0.5632040050062578</x:v>
      </x:c>
    </x:row>
    <x:row r="45">
      <x:c r="A45" s="12" t="n">
        <x:v>46225</x:v>
      </x:c>
      <x:c r="B45" t="str">
        <x:v>Nonbrand Search</x:v>
      </x:c>
      <x:c r="C45" t="str">
        <x:v>Enabled</x:v>
      </x:c>
      <x:c r="D45" t="str">
        <x:v>Search</x:v>
      </x:c>
      <x:c r="E45" s="14" t="n">
        <x:v>75</x:v>
      </x:c>
      <x:c r="F45" t="str">
        <x:v>USD</x:v>
      </x:c>
      <x:c r="G45" s="16" t="n">
        <x:v>686</x:v>
      </x:c>
      <x:c r="H45" s="16" t="n">
        <x:v>34</x:v>
      </x:c>
      <x:c r="I45" s="14" t="n">
        <x:v>133.42</x:v>
      </x:c>
      <x:c r="J45" s="14" t="n">
        <x:v>34</x:v>
      </x:c>
      <x:c r="K45" s="14" t="n">
        <x:v>34</x:v>
      </x:c>
      <x:c r="L45" t="str">
        <x:v>Page View (Website)</x:v>
      </x:c>
      <x:c r="M45" s="18" t="n">
        <x:f>IFERROR(H45/G45,0)</x:f>
        <x:v>0.04956268221574344</x:v>
      </x:c>
      <x:c r="N45" s="18" t="n">
        <x:f>IFERROR(J45/H45,0)</x:f>
        <x:v>1</x:v>
      </x:c>
      <x:c r="O45" s="14" t="n">
        <x:f>IFERROR(I45/H45,0)</x:f>
        <x:v>3.9241176470588233</x:v>
      </x:c>
      <x:c r="P45" s="14" t="n">
        <x:f>IFERROR(I45/J45,0)</x:f>
        <x:v>3.9241176470588233</x:v>
      </x:c>
      <x:c r="Q45" s="20" t="n">
        <x:f>IFERROR(K45/I45,0)</x:f>
        <x:v>0.25483435766751616</x:v>
      </x:c>
    </x:row>
    <x:row r="46">
      <x:c r="A46" s="12" t="n">
        <x:v>46226</x:v>
      </x:c>
      <x:c r="B46" t="str">
        <x:v>Brand Search</x:v>
      </x:c>
      <x:c r="C46" t="str">
        <x:v>Enabled</x:v>
      </x:c>
      <x:c r="D46" t="str">
        <x:v>Search</x:v>
      </x:c>
      <x:c r="E46" s="14" t="n">
        <x:v>35</x:v>
      </x:c>
      <x:c r="F46" t="str">
        <x:v>USD</x:v>
      </x:c>
      <x:c r="G46" s="16" t="n">
        <x:v>79</x:v>
      </x:c>
      <x:c r="H46" s="16" t="n">
        <x:v>19</x:v>
      </x:c>
      <x:c r="I46" s="14" t="n">
        <x:v>35.79</x:v>
      </x:c>
      <x:c r="J46" s="14" t="n">
        <x:v>19</x:v>
      </x:c>
      <x:c r="K46" s="14" t="n">
        <x:v>19</x:v>
      </x:c>
      <x:c r="L46" t="str">
        <x:v>Page View (Website)</x:v>
      </x:c>
      <x:c r="M46" s="18" t="n">
        <x:f>IFERROR(H46/G46,0)</x:f>
        <x:v>0.24050632911392406</x:v>
      </x:c>
      <x:c r="N46" s="18" t="n">
        <x:f>IFERROR(J46/H46,0)</x:f>
        <x:v>1</x:v>
      </x:c>
      <x:c r="O46" s="14" t="n">
        <x:f>IFERROR(I46/H46,0)</x:f>
        <x:v>1.8836842105263158</x:v>
      </x:c>
      <x:c r="P46" s="14" t="n">
        <x:f>IFERROR(I46/J46,0)</x:f>
        <x:v>1.8836842105263158</x:v>
      </x:c>
      <x:c r="Q46" s="20" t="n">
        <x:f>IFERROR(K46/I46,0)</x:f>
        <x:v>0.5308745459625593</x:v>
      </x:c>
    </x:row>
    <x:row r="47">
      <x:c r="A47" s="12" t="n">
        <x:v>46226</x:v>
      </x:c>
      <x:c r="B47" t="str">
        <x:v>Nonbrand Search</x:v>
      </x:c>
      <x:c r="C47" t="str">
        <x:v>Enabled</x:v>
      </x:c>
      <x:c r="D47" t="str">
        <x:v>Search</x:v>
      </x:c>
      <x:c r="E47" s="14" t="n">
        <x:v>75</x:v>
      </x:c>
      <x:c r="F47" t="str">
        <x:v>USD</x:v>
      </x:c>
      <x:c r="G47" s="16" t="n">
        <x:v>663</x:v>
      </x:c>
      <x:c r="H47" s="16" t="n">
        <x:v>39</x:v>
      </x:c>
      <x:c r="I47" s="14" t="n">
        <x:v>152.64</x:v>
      </x:c>
      <x:c r="J47" s="14" t="n">
        <x:v>39</x:v>
      </x:c>
      <x:c r="K47" s="14" t="n">
        <x:v>39</x:v>
      </x:c>
      <x:c r="L47" t="str">
        <x:v>Page View (Website)</x:v>
      </x:c>
      <x:c r="M47" s="18" t="n">
        <x:f>IFERROR(H47/G47,0)</x:f>
        <x:v>0.058823529411764705</x:v>
      </x:c>
      <x:c r="N47" s="18" t="n">
        <x:f>IFERROR(J47/H47,0)</x:f>
        <x:v>1</x:v>
      </x:c>
      <x:c r="O47" s="14" t="n">
        <x:f>IFERROR(I47/H47,0)</x:f>
        <x:v>3.9138461538461535</x:v>
      </x:c>
      <x:c r="P47" s="14" t="n">
        <x:f>IFERROR(I47/J47,0)</x:f>
        <x:v>3.9138461538461535</x:v>
      </x:c>
      <x:c r="Q47" s="20" t="n">
        <x:f>IFERROR(K47/I47,0)</x:f>
        <x:v>0.2555031446540881</x:v>
      </x:c>
    </x:row>
    <x:row r="48">
      <x:c r="A48" s="12" t="n">
        <x:v>46227</x:v>
      </x:c>
      <x:c r="B48" t="str">
        <x:v>Brand Search</x:v>
      </x:c>
      <x:c r="C48" t="str">
        <x:v>Enabled</x:v>
      </x:c>
      <x:c r="D48" t="str">
        <x:v>Search</x:v>
      </x:c>
      <x:c r="E48" s="14" t="n">
        <x:v>35</x:v>
      </x:c>
      <x:c r="F48" t="str">
        <x:v>USD</x:v>
      </x:c>
      <x:c r="G48" s="16" t="n">
        <x:v>80</x:v>
      </x:c>
      <x:c r="H48" s="16" t="n">
        <x:v>19</x:v>
      </x:c>
      <x:c r="I48" s="14" t="n">
        <x:v>34.41</x:v>
      </x:c>
      <x:c r="J48" s="14" t="n">
        <x:v>19</x:v>
      </x:c>
      <x:c r="K48" s="14" t="n">
        <x:v>19</x:v>
      </x:c>
      <x:c r="L48" t="str">
        <x:v>Page View (Website)</x:v>
      </x:c>
      <x:c r="M48" s="18" t="n">
        <x:f>IFERROR(H48/G48,0)</x:f>
        <x:v>0.2375</x:v>
      </x:c>
      <x:c r="N48" s="18" t="n">
        <x:f>IFERROR(J48/H48,0)</x:f>
        <x:v>1</x:v>
      </x:c>
      <x:c r="O48" s="14" t="n">
        <x:f>IFERROR(I48/H48,0)</x:f>
        <x:v>1.8110526315789472</x:v>
      </x:c>
      <x:c r="P48" s="14" t="n">
        <x:f>IFERROR(I48/J48,0)</x:f>
        <x:v>1.8110526315789472</x:v>
      </x:c>
      <x:c r="Q48" s="20" t="n">
        <x:f>IFERROR(K48/I48,0)</x:f>
        <x:v>0.5521650682941006</x:v>
      </x:c>
    </x:row>
    <x:row r="49">
      <x:c r="A49" s="12" t="n">
        <x:v>46227</x:v>
      </x:c>
      <x:c r="B49" t="str">
        <x:v>Nonbrand Search</x:v>
      </x:c>
      <x:c r="C49" t="str">
        <x:v>Enabled</x:v>
      </x:c>
      <x:c r="D49" t="str">
        <x:v>Search</x:v>
      </x:c>
      <x:c r="E49" s="14" t="n">
        <x:v>75</x:v>
      </x:c>
      <x:c r="F49" t="str">
        <x:v>USD</x:v>
      </x:c>
      <x:c r="G49" s="16" t="n">
        <x:v>757</x:v>
      </x:c>
      <x:c r="H49" s="16" t="n">
        <x:v>44</x:v>
      </x:c>
      <x:c r="I49" s="14" t="n">
        <x:v>187.57</x:v>
      </x:c>
      <x:c r="J49" s="14" t="n">
        <x:v>44</x:v>
      </x:c>
      <x:c r="K49" s="14" t="n">
        <x:v>44</x:v>
      </x:c>
      <x:c r="L49" t="str">
        <x:v>Page View (Website)</x:v>
      </x:c>
      <x:c r="M49" s="18" t="n">
        <x:f>IFERROR(H49/G49,0)</x:f>
        <x:v>0.05812417437252312</x:v>
      </x:c>
      <x:c r="N49" s="18" t="n">
        <x:f>IFERROR(J49/H49,0)</x:f>
        <x:v>1</x:v>
      </x:c>
      <x:c r="O49" s="14" t="n">
        <x:f>IFERROR(I49/H49,0)</x:f>
        <x:v>4.262954545454545</x:v>
      </x:c>
      <x:c r="P49" s="14" t="n">
        <x:f>IFERROR(I49/J49,0)</x:f>
        <x:v>4.262954545454545</x:v>
      </x:c>
      <x:c r="Q49" s="20" t="n">
        <x:f>IFERROR(K49/I49,0)</x:f>
        <x:v>0.23457909047289013</x:v>
      </x:c>
    </x:row>
    <x:row r="50">
      <x:c r="A50" s="12" t="n">
        <x:v>46228</x:v>
      </x:c>
      <x:c r="B50" t="str">
        <x:v>Brand Search</x:v>
      </x:c>
      <x:c r="C50" t="str">
        <x:v>Enabled</x:v>
      </x:c>
      <x:c r="D50" t="str">
        <x:v>Search</x:v>
      </x:c>
      <x:c r="E50" s="14" t="n">
        <x:v>35</x:v>
      </x:c>
      <x:c r="F50" t="str">
        <x:v>USD</x:v>
      </x:c>
      <x:c r="G50" s="16" t="n">
        <x:v>60</x:v>
      </x:c>
      <x:c r="H50" s="16" t="n">
        <x:v>13</x:v>
      </x:c>
      <x:c r="I50" s="14" t="n">
        <x:v>25.77</x:v>
      </x:c>
      <x:c r="J50" s="14" t="n">
        <x:v>13</x:v>
      </x:c>
      <x:c r="K50" s="14" t="n">
        <x:v>13</x:v>
      </x:c>
      <x:c r="L50" t="str">
        <x:v>Page View (Website)</x:v>
      </x:c>
      <x:c r="M50" s="18" t="n">
        <x:f>IFERROR(H50/G50,0)</x:f>
        <x:v>0.21666666666666667</x:v>
      </x:c>
      <x:c r="N50" s="18" t="n">
        <x:f>IFERROR(J50/H50,0)</x:f>
        <x:v>1</x:v>
      </x:c>
      <x:c r="O50" s="14" t="n">
        <x:f>IFERROR(I50/H50,0)</x:f>
        <x:v>1.9823076923076923</x:v>
      </x:c>
      <x:c r="P50" s="14" t="n">
        <x:f>IFERROR(I50/J50,0)</x:f>
        <x:v>1.9823076923076923</x:v>
      </x:c>
      <x:c r="Q50" s="20" t="n">
        <x:f>IFERROR(K50/I50,0)</x:f>
        <x:v>0.5044625533566163</x:v>
      </x:c>
    </x:row>
    <x:row r="51">
      <x:c r="A51" s="12" t="n">
        <x:v>46228</x:v>
      </x:c>
      <x:c r="B51" t="str">
        <x:v>Nonbrand Search</x:v>
      </x:c>
      <x:c r="C51" t="str">
        <x:v>Enabled</x:v>
      </x:c>
      <x:c r="D51" t="str">
        <x:v>Search</x:v>
      </x:c>
      <x:c r="E51" s="14" t="n">
        <x:v>75</x:v>
      </x:c>
      <x:c r="F51" t="str">
        <x:v>USD</x:v>
      </x:c>
      <x:c r="G51" s="16" t="n">
        <x:v>519</x:v>
      </x:c>
      <x:c r="H51" s="16" t="n">
        <x:v>26</x:v>
      </x:c>
      <x:c r="I51" s="14" t="n">
        <x:v>104.71</x:v>
      </x:c>
      <x:c r="J51" s="14" t="n">
        <x:v>26</x:v>
      </x:c>
      <x:c r="K51" s="14" t="n">
        <x:v>26</x:v>
      </x:c>
      <x:c r="L51" t="str">
        <x:v>Page View (Website)</x:v>
      </x:c>
      <x:c r="M51" s="18" t="n">
        <x:f>IFERROR(H51/G51,0)</x:f>
        <x:v>0.05009633911368015</x:v>
      </x:c>
      <x:c r="N51" s="18" t="n">
        <x:f>IFERROR(J51/H51,0)</x:f>
        <x:v>1</x:v>
      </x:c>
      <x:c r="O51" s="14" t="n">
        <x:f>IFERROR(I51/H51,0)</x:f>
        <x:v>4.0273076923076925</x:v>
      </x:c>
      <x:c r="P51" s="14" t="n">
        <x:f>IFERROR(I51/J51,0)</x:f>
        <x:v>4.0273076923076925</x:v>
      </x:c>
      <x:c r="Q51" s="20" t="n">
        <x:f>IFERROR(K51/I51,0)</x:f>
        <x:v>0.24830484194441793</x:v>
      </x:c>
    </x:row>
    <x:row r="52">
      <x:c r="A52" s="12" t="n">
        <x:v>46229</x:v>
      </x:c>
      <x:c r="B52" t="str">
        <x:v>Brand Search</x:v>
      </x:c>
      <x:c r="C52" t="str">
        <x:v>Enabled</x:v>
      </x:c>
      <x:c r="D52" t="str">
        <x:v>Search</x:v>
      </x:c>
      <x:c r="E52" s="14" t="n">
        <x:v>35</x:v>
      </x:c>
      <x:c r="F52" t="str">
        <x:v>USD</x:v>
      </x:c>
      <x:c r="G52" s="16" t="n">
        <x:v>72</x:v>
      </x:c>
      <x:c r="H52" s="16" t="n">
        <x:v>16</x:v>
      </x:c>
      <x:c r="I52" s="14" t="n">
        <x:v>32.24</x:v>
      </x:c>
      <x:c r="J52" s="14" t="n">
        <x:v>16</x:v>
      </x:c>
      <x:c r="K52" s="14" t="n">
        <x:v>16</x:v>
      </x:c>
      <x:c r="L52" t="str">
        <x:v>Page View (Website)</x:v>
      </x:c>
      <x:c r="M52" s="18" t="n">
        <x:f>IFERROR(H52/G52,0)</x:f>
        <x:v>0.2222222222222222</x:v>
      </x:c>
      <x:c r="N52" s="18" t="n">
        <x:f>IFERROR(J52/H52,0)</x:f>
        <x:v>1</x:v>
      </x:c>
      <x:c r="O52" s="14" t="n">
        <x:f>IFERROR(I52/H52,0)</x:f>
        <x:v>2.015</x:v>
      </x:c>
      <x:c r="P52" s="14" t="n">
        <x:f>IFERROR(I52/J52,0)</x:f>
        <x:v>2.015</x:v>
      </x:c>
      <x:c r="Q52" s="20" t="n">
        <x:f>IFERROR(K52/I52,0)</x:f>
        <x:v>0.4962779156327543</x:v>
      </x:c>
    </x:row>
    <x:row r="53">
      <x:c r="A53" s="12" t="n">
        <x:v>46229</x:v>
      </x:c>
      <x:c r="B53" t="str">
        <x:v>Nonbrand Search</x:v>
      </x:c>
      <x:c r="C53" t="str">
        <x:v>Enabled</x:v>
      </x:c>
      <x:c r="D53" t="str">
        <x:v>Search</x:v>
      </x:c>
      <x:c r="E53" s="14" t="n">
        <x:v>75</x:v>
      </x:c>
      <x:c r="F53" t="str">
        <x:v>USD</x:v>
      </x:c>
      <x:c r="G53" s="16" t="n">
        <x:v>529</x:v>
      </x:c>
      <x:c r="H53" s="16" t="n">
        <x:v>28</x:v>
      </x:c>
      <x:c r="I53" s="14" t="n">
        <x:v>114.02</x:v>
      </x:c>
      <x:c r="J53" s="14" t="n">
        <x:v>28</x:v>
      </x:c>
      <x:c r="K53" s="14" t="n">
        <x:v>28</x:v>
      </x:c>
      <x:c r="L53" t="str">
        <x:v>Page View (Website)</x:v>
      </x:c>
      <x:c r="M53" s="18" t="n">
        <x:f>IFERROR(H53/G53,0)</x:f>
        <x:v>0.052930056710775046</x:v>
      </x:c>
      <x:c r="N53" s="18" t="n">
        <x:f>IFERROR(J53/H53,0)</x:f>
        <x:v>1</x:v>
      </x:c>
      <x:c r="O53" s="14" t="n">
        <x:f>IFERROR(I53/H53,0)</x:f>
        <x:v>4.072142857142857</x:v>
      </x:c>
      <x:c r="P53" s="14" t="n">
        <x:f>IFERROR(I53/J53,0)</x:f>
        <x:v>4.072142857142857</x:v>
      </x:c>
      <x:c r="Q53" s="20" t="n">
        <x:f>IFERROR(K53/I53,0)</x:f>
        <x:v>0.24557095246447994</x:v>
      </x:c>
    </x:row>
    <x:row r="54">
      <x:c r="A54" s="12" t="n">
        <x:v>46230</x:v>
      </x:c>
      <x:c r="B54" t="str">
        <x:v>Brand Search</x:v>
      </x:c>
      <x:c r="C54" t="str">
        <x:v>Enabled</x:v>
      </x:c>
      <x:c r="D54" t="str">
        <x:v>Search</x:v>
      </x:c>
      <x:c r="E54" s="14" t="n">
        <x:v>35</x:v>
      </x:c>
      <x:c r="F54" t="str">
        <x:v>USD</x:v>
      </x:c>
      <x:c r="G54" s="16" t="n">
        <x:v>84</x:v>
      </x:c>
      <x:c r="H54" s="16" t="n">
        <x:v>20</x:v>
      </x:c>
      <x:c r="I54" s="14" t="n">
        <x:v>32.73</x:v>
      </x:c>
      <x:c r="J54" s="14" t="n">
        <x:v>20</x:v>
      </x:c>
      <x:c r="K54" s="14" t="n">
        <x:v>20</x:v>
      </x:c>
      <x:c r="L54" t="str">
        <x:v>Page View (Website)</x:v>
      </x:c>
      <x:c r="M54" s="18" t="n">
        <x:f>IFERROR(H54/G54,0)</x:f>
        <x:v>0.23809523809523808</x:v>
      </x:c>
      <x:c r="N54" s="18" t="n">
        <x:f>IFERROR(J54/H54,0)</x:f>
        <x:v>1</x:v>
      </x:c>
      <x:c r="O54" s="14" t="n">
        <x:f>IFERROR(I54/H54,0)</x:f>
        <x:v>1.6364999999999998</x:v>
      </x:c>
      <x:c r="P54" s="14" t="n">
        <x:f>IFERROR(I54/J54,0)</x:f>
        <x:v>1.6364999999999998</x:v>
      </x:c>
      <x:c r="Q54" s="20" t="n">
        <x:f>IFERROR(K54/I54,0)</x:f>
        <x:v>0.6110601894286588</x:v>
      </x:c>
    </x:row>
    <x:row r="55">
      <x:c r="A55" s="12" t="n">
        <x:v>46230</x:v>
      </x:c>
      <x:c r="B55" t="str">
        <x:v>Nonbrand Search</x:v>
      </x:c>
      <x:c r="C55" t="str">
        <x:v>Enabled</x:v>
      </x:c>
      <x:c r="D55" t="str">
        <x:v>Search</x:v>
      </x:c>
      <x:c r="E55" s="14" t="n">
        <x:v>75</x:v>
      </x:c>
      <x:c r="F55" t="str">
        <x:v>USD</x:v>
      </x:c>
      <x:c r="G55" s="16" t="n">
        <x:v>711</x:v>
      </x:c>
      <x:c r="H55" s="16" t="n">
        <x:v>44</x:v>
      </x:c>
      <x:c r="I55" s="14" t="n">
        <x:v>171.74</x:v>
      </x:c>
      <x:c r="J55" s="14" t="n">
        <x:v>44</x:v>
      </x:c>
      <x:c r="K55" s="14" t="n">
        <x:v>44</x:v>
      </x:c>
      <x:c r="L55" t="str">
        <x:v>Page View (Website)</x:v>
      </x:c>
      <x:c r="M55" s="18" t="n">
        <x:f>IFERROR(H55/G55,0)</x:f>
        <x:v>0.06188466947960619</x:v>
      </x:c>
      <x:c r="N55" s="18" t="n">
        <x:f>IFERROR(J55/H55,0)</x:f>
        <x:v>1</x:v>
      </x:c>
      <x:c r="O55" s="14" t="n">
        <x:f>IFERROR(I55/H55,0)</x:f>
        <x:v>3.9031818181818183</x:v>
      </x:c>
      <x:c r="P55" s="14" t="n">
        <x:f>IFERROR(I55/J55,0)</x:f>
        <x:v>3.9031818181818183</x:v>
      </x:c>
      <x:c r="Q55" s="20" t="n">
        <x:f>IFERROR(K55/I55,0)</x:f>
        <x:v>0.2562012344241295</x:v>
      </x:c>
    </x:row>
    <x:row r="56">
      <x:c r="A56" s="12" t="n">
        <x:v>46231</x:v>
      </x:c>
      <x:c r="B56" t="str">
        <x:v>Brand Search</x:v>
      </x:c>
      <x:c r="C56" t="str">
        <x:v>Enabled</x:v>
      </x:c>
      <x:c r="D56" t="str">
        <x:v>Search</x:v>
      </x:c>
      <x:c r="E56" s="14" t="n">
        <x:v>35</x:v>
      </x:c>
      <x:c r="F56" t="str">
        <x:v>USD</x:v>
      </x:c>
      <x:c r="G56" s="16" t="n">
        <x:v>101</x:v>
      </x:c>
      <x:c r="H56" s="16" t="n">
        <x:v>24</x:v>
      </x:c>
      <x:c r="I56" s="14" t="n">
        <x:v>48.65</x:v>
      </x:c>
      <x:c r="J56" s="14" t="n">
        <x:v>24</x:v>
      </x:c>
      <x:c r="K56" s="14" t="n">
        <x:v>24</x:v>
      </x:c>
      <x:c r="L56" t="str">
        <x:v>Page View (Website)</x:v>
      </x:c>
      <x:c r="M56" s="18" t="n">
        <x:f>IFERROR(H56/G56,0)</x:f>
        <x:v>0.2376237623762376</x:v>
      </x:c>
      <x:c r="N56" s="18" t="n">
        <x:f>IFERROR(J56/H56,0)</x:f>
        <x:v>1</x:v>
      </x:c>
      <x:c r="O56" s="14" t="n">
        <x:f>IFERROR(I56/H56,0)</x:f>
        <x:v>2.027083333333333</x:v>
      </x:c>
      <x:c r="P56" s="14" t="n">
        <x:f>IFERROR(I56/J56,0)</x:f>
        <x:v>2.027083333333333</x:v>
      </x:c>
      <x:c r="Q56" s="20" t="n">
        <x:f>IFERROR(K56/I56,0)</x:f>
        <x:v>0.4933196300102775</x:v>
      </x:c>
    </x:row>
    <x:row r="57">
      <x:c r="A57" s="12" t="n">
        <x:v>46231</x:v>
      </x:c>
      <x:c r="B57" t="str">
        <x:v>Nonbrand Search</x:v>
      </x:c>
      <x:c r="C57" t="str">
        <x:v>Enabled</x:v>
      </x:c>
      <x:c r="D57" t="str">
        <x:v>Search</x:v>
      </x:c>
      <x:c r="E57" s="14" t="n">
        <x:v>75</x:v>
      </x:c>
      <x:c r="F57" t="str">
        <x:v>USD</x:v>
      </x:c>
      <x:c r="G57" s="16" t="n">
        <x:v>739</x:v>
      </x:c>
      <x:c r="H57" s="16" t="n">
        <x:v>39</x:v>
      </x:c>
      <x:c r="I57" s="14" t="n">
        <x:v>153.92</x:v>
      </x:c>
      <x:c r="J57" s="14" t="n">
        <x:v>39</x:v>
      </x:c>
      <x:c r="K57" s="14" t="n">
        <x:v>39</x:v>
      </x:c>
      <x:c r="L57" t="str">
        <x:v>Page View (Website)</x:v>
      </x:c>
      <x:c r="M57" s="18" t="n">
        <x:f>IFERROR(H57/G57,0)</x:f>
        <x:v>0.05277401894451962</x:v>
      </x:c>
      <x:c r="N57" s="18" t="n">
        <x:f>IFERROR(J57/H57,0)</x:f>
        <x:v>1</x:v>
      </x:c>
      <x:c r="O57" s="14" t="n">
        <x:f>IFERROR(I57/H57,0)</x:f>
        <x:v>3.9466666666666663</x:v>
      </x:c>
      <x:c r="P57" s="14" t="n">
        <x:f>IFERROR(I57/J57,0)</x:f>
        <x:v>3.9466666666666663</x:v>
      </x:c>
      <x:c r="Q57" s="20" t="n">
        <x:f>IFERROR(K57/I57,0)</x:f>
        <x:v>0.2533783783783784</x:v>
      </x:c>
    </x:row>
    <x:row r="58">
      <x:c r="A58" s="12" t="n">
        <x:v>46232</x:v>
      </x:c>
      <x:c r="B58" t="str">
        <x:v>Brand Search</x:v>
      </x:c>
      <x:c r="C58" t="str">
        <x:v>Enabled</x:v>
      </x:c>
      <x:c r="D58" t="str">
        <x:v>Search</x:v>
      </x:c>
      <x:c r="E58" s="14" t="n">
        <x:v>35</x:v>
      </x:c>
      <x:c r="F58" t="str">
        <x:v>USD</x:v>
      </x:c>
      <x:c r="G58" s="16" t="n">
        <x:v>101</x:v>
      </x:c>
      <x:c r="H58" s="16" t="n">
        <x:v>23</x:v>
      </x:c>
      <x:c r="I58" s="14" t="n">
        <x:v>44.88</x:v>
      </x:c>
      <x:c r="J58" s="14" t="n">
        <x:v>23</x:v>
      </x:c>
      <x:c r="K58" s="14" t="n">
        <x:v>23</x:v>
      </x:c>
      <x:c r="L58" t="str">
        <x:v>Page View (Website)</x:v>
      </x:c>
      <x:c r="M58" s="18" t="n">
        <x:f>IFERROR(H58/G58,0)</x:f>
        <x:v>0.22772277227722773</x:v>
      </x:c>
      <x:c r="N58" s="18" t="n">
        <x:f>IFERROR(J58/H58,0)</x:f>
        <x:v>1</x:v>
      </x:c>
      <x:c r="O58" s="14" t="n">
        <x:f>IFERROR(I58/H58,0)</x:f>
        <x:v>1.951304347826087</x:v>
      </x:c>
      <x:c r="P58" s="14" t="n">
        <x:f>IFERROR(I58/J58,0)</x:f>
        <x:v>1.951304347826087</x:v>
      </x:c>
      <x:c r="Q58" s="20" t="n">
        <x:f>IFERROR(K58/I58,0)</x:f>
        <x:v>0.5124777183600713</x:v>
      </x:c>
    </x:row>
    <x:row r="59">
      <x:c r="A59" s="12" t="n">
        <x:v>46232</x:v>
      </x:c>
      <x:c r="B59" t="str">
        <x:v>Nonbrand Search</x:v>
      </x:c>
      <x:c r="C59" t="str">
        <x:v>Enabled</x:v>
      </x:c>
      <x:c r="D59" t="str">
        <x:v>Search</x:v>
      </x:c>
      <x:c r="E59" s="14" t="n">
        <x:v>75</x:v>
      </x:c>
      <x:c r="F59" t="str">
        <x:v>USD</x:v>
      </x:c>
      <x:c r="G59" s="16" t="n">
        <x:v>833</x:v>
      </x:c>
      <x:c r="H59" s="16" t="n">
        <x:v>46</x:v>
      </x:c>
      <x:c r="I59" s="14" t="n">
        <x:v>179.31</x:v>
      </x:c>
      <x:c r="J59" s="14" t="n">
        <x:v>46</x:v>
      </x:c>
      <x:c r="K59" s="14" t="n">
        <x:v>46</x:v>
      </x:c>
      <x:c r="L59" t="str">
        <x:v>Page View (Website)</x:v>
      </x:c>
      <x:c r="M59" s="18" t="n">
        <x:f>IFERROR(H59/G59,0)</x:f>
        <x:v>0.055222088835534214</x:v>
      </x:c>
      <x:c r="N59" s="18" t="n">
        <x:f>IFERROR(J59/H59,0)</x:f>
        <x:v>1</x:v>
      </x:c>
      <x:c r="O59" s="14" t="n">
        <x:f>IFERROR(I59/H59,0)</x:f>
        <x:v>3.8980434782608695</x:v>
      </x:c>
      <x:c r="P59" s="14" t="n">
        <x:f>IFERROR(I59/J59,0)</x:f>
        <x:v>3.8980434782608695</x:v>
      </x:c>
      <x:c r="Q59" s="20" t="n">
        <x:f>IFERROR(K59/I59,0)</x:f>
        <x:v>0.25653895488260553</x:v>
      </x:c>
    </x:row>
    <x:row r="60">
      <x:c r="A60" s="12" t="n">
        <x:v>46233</x:v>
      </x:c>
      <x:c r="B60" t="str">
        <x:v>Brand Search</x:v>
      </x:c>
      <x:c r="C60" t="str">
        <x:v>Enabled</x:v>
      </x:c>
      <x:c r="D60" t="str">
        <x:v>Search</x:v>
      </x:c>
      <x:c r="E60" s="14" t="n">
        <x:v>35</x:v>
      </x:c>
      <x:c r="F60" t="str">
        <x:v>USD</x:v>
      </x:c>
      <x:c r="G60" s="16" t="n">
        <x:v>98</x:v>
      </x:c>
      <x:c r="H60" s="16" t="n">
        <x:v>22</x:v>
      </x:c>
      <x:c r="I60" s="14" t="n">
        <x:v>42.98</x:v>
      </x:c>
      <x:c r="J60" s="14" t="n">
        <x:v>22</x:v>
      </x:c>
      <x:c r="K60" s="14" t="n">
        <x:v>22</x:v>
      </x:c>
      <x:c r="L60" t="str">
        <x:v>Page View (Website)</x:v>
      </x:c>
      <x:c r="M60" s="18" t="n">
        <x:f>IFERROR(H60/G60,0)</x:f>
        <x:v>0.22448979591836735</x:v>
      </x:c>
      <x:c r="N60" s="18" t="n">
        <x:f>IFERROR(J60/H60,0)</x:f>
        <x:v>1</x:v>
      </x:c>
      <x:c r="O60" s="14" t="n">
        <x:f>IFERROR(I60/H60,0)</x:f>
        <x:v>1.9536363636363634</x:v>
      </x:c>
      <x:c r="P60" s="14" t="n">
        <x:f>IFERROR(I60/J60,0)</x:f>
        <x:v>1.9536363636363634</x:v>
      </x:c>
      <x:c r="Q60" s="20" t="n">
        <x:f>IFERROR(K60/I60,0)</x:f>
        <x:v>0.5118659841786878</x:v>
      </x:c>
    </x:row>
    <x:row r="61">
      <x:c r="A61" s="12" t="n">
        <x:v>46233</x:v>
      </x:c>
      <x:c r="B61" t="str">
        <x:v>Nonbrand Search</x:v>
      </x:c>
      <x:c r="C61" t="str">
        <x:v>Enabled</x:v>
      </x:c>
      <x:c r="D61" t="str">
        <x:v>Search</x:v>
      </x:c>
      <x:c r="E61" s="14" t="n">
        <x:v>75</x:v>
      </x:c>
      <x:c r="F61" t="str">
        <x:v>USD</x:v>
      </x:c>
      <x:c r="G61" s="16" t="n">
        <x:v>752</x:v>
      </x:c>
      <x:c r="H61" s="16" t="n">
        <x:v>44</x:v>
      </x:c>
      <x:c r="I61" s="14" t="n">
        <x:v>179.83</x:v>
      </x:c>
      <x:c r="J61" s="14" t="n">
        <x:v>44</x:v>
      </x:c>
      <x:c r="K61" s="14" t="n">
        <x:v>44</x:v>
      </x:c>
      <x:c r="L61" t="str">
        <x:v>Page View (Website)</x:v>
      </x:c>
      <x:c r="M61" s="18" t="n">
        <x:f>IFERROR(H61/G61,0)</x:f>
        <x:v>0.05851063829787234</x:v>
      </x:c>
      <x:c r="N61" s="18" t="n">
        <x:f>IFERROR(J61/H61,0)</x:f>
        <x:v>1</x:v>
      </x:c>
      <x:c r="O61" s="14" t="n">
        <x:f>IFERROR(I61/H61,0)</x:f>
        <x:v>4.087045454545454</x:v>
      </x:c>
      <x:c r="P61" s="14" t="n">
        <x:f>IFERROR(I61/J61,0)</x:f>
        <x:v>4.087045454545454</x:v>
      </x:c>
      <x:c r="Q61" s="20" t="n">
        <x:f>IFERROR(K61/I61,0)</x:f>
        <x:v>0.2446755268865039</x:v>
      </x:c>
    </x:row>
  </x:sheetData>
  <x:pageMargins left="0.7" right="0.7" top="0.75" bottom="0.75" header="0.3" footer="0.3"/>
  <x:tableParts count="1">
    <x:tablePart xmlns:r="http://schemas.openxmlformats.org/officeDocument/2006/relationships" r:id="R9e95224ba2c94e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5" hidden="0" customWidth="1"/>
    <x:col min="5" max="5" width="11" hidden="0" customWidth="1"/>
    <x:col min="6" max="6" width="10" hidden="0" customWidth="1"/>
    <x:col min="7" max="7" width="12" hidden="0" customWidth="1"/>
    <x:col min="8" max="8" width="10" hidden="0" customWidth="1"/>
    <x:col min="9" max="9" width="11" hidden="0" customWidth="1"/>
    <x:col min="10" max="10" width="17" hidden="0" customWidth="1"/>
    <x:col min="11" max="11" width="15" hidden="0" customWidth="1"/>
    <x:col min="12" max="12" width="23" hidden="0" customWidth="1"/>
    <x:col min="13" max="13" width="10" hidden="0" customWidth="1"/>
    <x:col min="14" max="14" width="13" hidden="0" customWidth="1"/>
    <x:col min="15" max="15" width="11" hidden="0" customWidth="1"/>
    <x:col min="16" max="16" width="13" hidden="0" customWidth="1"/>
    <x:col min="17" max="17" width="13" hidden="0" customWidth="1"/>
  </x:cols>
  <x:sheetData>
    <x:row r="1">
      <x:c r="A1" s="6" t="str">
        <x:v>Date</x:v>
      </x:c>
      <x:c r="B1" s="6" t="str">
        <x:v>Campaign</x:v>
      </x:c>
      <x:c r="C1" s="6" t="str">
        <x:v>Campaign Status</x:v>
      </x:c>
      <x:c r="D1" s="6" t="str">
        <x:v>Campaign Type</x:v>
      </x:c>
      <x:c r="E1" s="6" t="str">
        <x:v>Budget</x:v>
      </x:c>
      <x:c r="F1" s="6" t="str">
        <x:v>Currency</x:v>
      </x:c>
      <x:c r="G1" s="6" t="str">
        <x:v>Impressions</x:v>
      </x:c>
      <x:c r="H1" s="6" t="str">
        <x:v>Clicks</x:v>
      </x:c>
      <x:c r="I1" s="6" t="str">
        <x:v>Cost</x:v>
      </x:c>
      <x:c r="J1" s="6" t="str">
        <x:v>Reported Conversions</x:v>
      </x:c>
      <x:c r="K1" s="6" t="str">
        <x:v>Reported Value</x:v>
      </x:c>
      <x:c r="L1" s="6" t="str">
        <x:v>Goal</x:v>
      </x:c>
      <x:c r="M1" s="6" t="str">
        <x:v>CTR</x:v>
      </x:c>
      <x:c r="N1" s="6" t="str">
        <x:v>Reported CVR</x:v>
      </x:c>
      <x:c r="O1" s="6" t="str">
        <x:v>Avg CPC</x:v>
      </x:c>
      <x:c r="P1" s="6" t="str">
        <x:v>Reported CPA</x:v>
      </x:c>
      <x:c r="Q1" s="6" t="str">
        <x:v>Reported ROAS</x:v>
      </x:c>
    </x:row>
    <x:row r="2">
      <x:c r="A2" s="12" t="n">
        <x:v>46174</x:v>
      </x:c>
      <x:c r="B2" t="str">
        <x:v>Brand Search</x:v>
      </x:c>
      <x:c r="C2" t="str">
        <x:v>Enabled</x:v>
      </x:c>
      <x:c r="D2" t="str">
        <x:v>Search</x:v>
      </x:c>
      <x:c r="E2" s="14" t="n">
        <x:v>35</x:v>
      </x:c>
      <x:c r="F2" t="str">
        <x:v>USD</x:v>
      </x:c>
      <x:c r="G2" s="16" t="n">
        <x:v>90</x:v>
      </x:c>
      <x:c r="H2" s="16" t="n">
        <x:v>23</x:v>
      </x:c>
      <x:c r="I2" s="14" t="n">
        <x:v>34.62</x:v>
      </x:c>
      <x:c r="J2" s="14" t="n">
        <x:v>23</x:v>
      </x:c>
      <x:c r="K2" s="14" t="n">
        <x:v>23</x:v>
      </x:c>
      <x:c r="L2" t="str">
        <x:v>Page View (Website)</x:v>
      </x:c>
      <x:c r="M2" s="18" t="n">
        <x:f>IFERROR(H2/G2,0)</x:f>
        <x:v>0.25555555555555554</x:v>
      </x:c>
      <x:c r="N2" s="18" t="n">
        <x:f>IFERROR(J2/H2,0)</x:f>
        <x:v>1</x:v>
      </x:c>
      <x:c r="O2" s="14" t="n">
        <x:f>IFERROR(I2/H2,0)</x:f>
        <x:v>1.5052173913043476</x:v>
      </x:c>
      <x:c r="P2" s="14" t="n">
        <x:f>IFERROR(I2/J2,0)</x:f>
        <x:v>1.5052173913043476</x:v>
      </x:c>
      <x:c r="Q2" s="20" t="n">
        <x:f>IFERROR(K2/I2,0)</x:f>
        <x:v>0.6643558636626228</x:v>
      </x:c>
    </x:row>
    <x:row r="3">
      <x:c r="A3" s="12" t="n">
        <x:v>46174</x:v>
      </x:c>
      <x:c r="B3" t="str">
        <x:v>Nonbrand Search</x:v>
      </x:c>
      <x:c r="C3" t="str">
        <x:v>Enabled</x:v>
      </x:c>
      <x:c r="D3" t="str">
        <x:v>Search</x:v>
      </x:c>
      <x:c r="E3" s="14" t="n">
        <x:v>75</x:v>
      </x:c>
      <x:c r="F3" t="str">
        <x:v>USD</x:v>
      </x:c>
      <x:c r="G3" s="16" t="n">
        <x:v>733</x:v>
      </x:c>
      <x:c r="H3" s="16" t="n">
        <x:v>36</x:v>
      </x:c>
      <x:c r="I3" s="14" t="n">
        <x:v>137.78</x:v>
      </x:c>
      <x:c r="J3" s="14" t="n">
        <x:v>36</x:v>
      </x:c>
      <x:c r="K3" s="14" t="n">
        <x:v>36</x:v>
      </x:c>
      <x:c r="L3" t="str">
        <x:v>Page View (Website)</x:v>
      </x:c>
      <x:c r="M3" s="18" t="n">
        <x:f>IFERROR(H3/G3,0)</x:f>
        <x:v>0.04911323328785812</x:v>
      </x:c>
      <x:c r="N3" s="18" t="n">
        <x:f>IFERROR(J3/H3,0)</x:f>
        <x:v>1</x:v>
      </x:c>
      <x:c r="O3" s="14" t="n">
        <x:f>IFERROR(I3/H3,0)</x:f>
        <x:v>3.8272222222222223</x:v>
      </x:c>
      <x:c r="P3" s="14" t="n">
        <x:f>IFERROR(I3/J3,0)</x:f>
        <x:v>3.8272222222222223</x:v>
      </x:c>
      <x:c r="Q3" s="20" t="n">
        <x:f>IFERROR(K3/I3,0)</x:f>
        <x:v>0.261286108288576</x:v>
      </x:c>
    </x:row>
    <x:row r="4">
      <x:c r="A4" s="12" t="n">
        <x:v>46175</x:v>
      </x:c>
      <x:c r="B4" t="str">
        <x:v>Brand Search</x:v>
      </x:c>
      <x:c r="C4" t="str">
        <x:v>Enabled</x:v>
      </x:c>
      <x:c r="D4" t="str">
        <x:v>Search</x:v>
      </x:c>
      <x:c r="E4" s="14" t="n">
        <x:v>35</x:v>
      </x:c>
      <x:c r="F4" t="str">
        <x:v>USD</x:v>
      </x:c>
      <x:c r="G4" s="16" t="n">
        <x:v>88</x:v>
      </x:c>
      <x:c r="H4" s="16" t="n">
        <x:v>19</x:v>
      </x:c>
      <x:c r="I4" s="14" t="n">
        <x:v>30.18</x:v>
      </x:c>
      <x:c r="J4" s="14" t="n">
        <x:v>19</x:v>
      </x:c>
      <x:c r="K4" s="14" t="n">
        <x:v>19</x:v>
      </x:c>
      <x:c r="L4" t="str">
        <x:v>Page View (Website)</x:v>
      </x:c>
      <x:c r="M4" s="18" t="n">
        <x:f>IFERROR(H4/G4,0)</x:f>
        <x:v>0.2159090909090909</x:v>
      </x:c>
      <x:c r="N4" s="18" t="n">
        <x:f>IFERROR(J4/H4,0)</x:f>
        <x:v>1</x:v>
      </x:c>
      <x:c r="O4" s="14" t="n">
        <x:f>IFERROR(I4/H4,0)</x:f>
        <x:v>1.588421052631579</x:v>
      </x:c>
      <x:c r="P4" s="14" t="n">
        <x:f>IFERROR(I4/J4,0)</x:f>
        <x:v>1.588421052631579</x:v>
      </x:c>
      <x:c r="Q4" s="20" t="n">
        <x:f>IFERROR(K4/I4,0)</x:f>
        <x:v>0.629555997349238</x:v>
      </x:c>
    </x:row>
    <x:row r="5">
      <x:c r="A5" s="12" t="n">
        <x:v>46175</x:v>
      </x:c>
      <x:c r="B5" t="str">
        <x:v>Nonbrand Search</x:v>
      </x:c>
      <x:c r="C5" t="str">
        <x:v>Enabled</x:v>
      </x:c>
      <x:c r="D5" t="str">
        <x:v>Search</x:v>
      </x:c>
      <x:c r="E5" s="14" t="n">
        <x:v>75</x:v>
      </x:c>
      <x:c r="F5" t="str">
        <x:v>USD</x:v>
      </x:c>
      <x:c r="G5" s="16" t="n">
        <x:v>720</x:v>
      </x:c>
      <x:c r="H5" s="16" t="n">
        <x:v>34</x:v>
      </x:c>
      <x:c r="I5" s="14" t="n">
        <x:v>128.48</x:v>
      </x:c>
      <x:c r="J5" s="14" t="n">
        <x:v>33</x:v>
      </x:c>
      <x:c r="K5" s="14" t="n">
        <x:v>33</x:v>
      </x:c>
      <x:c r="L5" t="str">
        <x:v>Page View (Website)</x:v>
      </x:c>
      <x:c r="M5" s="18" t="n">
        <x:f>IFERROR(H5/G5,0)</x:f>
        <x:v>0.04722222222222222</x:v>
      </x:c>
      <x:c r="N5" s="18" t="n">
        <x:f>IFERROR(J5/H5,0)</x:f>
        <x:v>0.9705882352941176</x:v>
      </x:c>
      <x:c r="O5" s="14" t="n">
        <x:f>IFERROR(I5/H5,0)</x:f>
        <x:v>3.7788235294117642</x:v>
      </x:c>
      <x:c r="P5" s="14" t="n">
        <x:f>IFERROR(I5/J5,0)</x:f>
        <x:v>3.893333333333333</x:v>
      </x:c>
      <x:c r="Q5" s="20" t="n">
        <x:f>IFERROR(K5/I5,0)</x:f>
        <x:v>0.2568493150684932</x:v>
      </x:c>
    </x:row>
    <x:row r="6">
      <x:c r="A6" s="12" t="n">
        <x:v>46176</x:v>
      </x:c>
      <x:c r="B6" t="str">
        <x:v>Brand Search</x:v>
      </x:c>
      <x:c r="C6" t="str">
        <x:v>Enabled</x:v>
      </x:c>
      <x:c r="D6" t="str">
        <x:v>Search</x:v>
      </x:c>
      <x:c r="E6" s="14" t="n">
        <x:v>35</x:v>
      </x:c>
      <x:c r="F6" t="str">
        <x:v>USD</x:v>
      </x:c>
      <x:c r="G6" s="16" t="n">
        <x:v>85</x:v>
      </x:c>
      <x:c r="H6" s="16" t="n">
        <x:v>19</x:v>
      </x:c>
      <x:c r="I6" s="14" t="n">
        <x:v>30.12</x:v>
      </x:c>
      <x:c r="J6" s="14" t="n">
        <x:v>18</x:v>
      </x:c>
      <x:c r="K6" s="14" t="n">
        <x:v>18</x:v>
      </x:c>
      <x:c r="L6" t="str">
        <x:v>Page View (Website)</x:v>
      </x:c>
      <x:c r="M6" s="18" t="n">
        <x:f>IFERROR(H6/G6,0)</x:f>
        <x:v>0.2235294117647059</x:v>
      </x:c>
      <x:c r="N6" s="18" t="n">
        <x:f>IFERROR(J6/H6,0)</x:f>
        <x:v>0.9473684210526315</x:v>
      </x:c>
      <x:c r="O6" s="14" t="n">
        <x:f>IFERROR(I6/H6,0)</x:f>
        <x:v>1.585263157894737</x:v>
      </x:c>
      <x:c r="P6" s="14" t="n">
        <x:f>IFERROR(I6/J6,0)</x:f>
        <x:v>1.6733333333333333</x:v>
      </x:c>
      <x:c r="Q6" s="20" t="n">
        <x:f>IFERROR(K6/I6,0)</x:f>
        <x:v>0.5976095617529881</x:v>
      </x:c>
    </x:row>
    <x:row r="7">
      <x:c r="A7" s="12" t="n">
        <x:v>46176</x:v>
      </x:c>
      <x:c r="B7" t="str">
        <x:v>Nonbrand Search</x:v>
      </x:c>
      <x:c r="C7" t="str">
        <x:v>Enabled</x:v>
      </x:c>
      <x:c r="D7" t="str">
        <x:v>Search</x:v>
      </x:c>
      <x:c r="E7" s="14" t="n">
        <x:v>75</x:v>
      </x:c>
      <x:c r="F7" t="str">
        <x:v>USD</x:v>
      </x:c>
      <x:c r="G7" s="16" t="n">
        <x:v>673</x:v>
      </x:c>
      <x:c r="H7" s="16" t="n">
        <x:v>39</x:v>
      </x:c>
      <x:c r="I7" s="14" t="n">
        <x:v>143.1</x:v>
      </x:c>
      <x:c r="J7" s="14" t="n">
        <x:v>39</x:v>
      </x:c>
      <x:c r="K7" s="14" t="n">
        <x:v>39</x:v>
      </x:c>
      <x:c r="L7" t="str">
        <x:v>Page View (Website)</x:v>
      </x:c>
      <x:c r="M7" s="18" t="n">
        <x:f>IFERROR(H7/G7,0)</x:f>
        <x:v>0.05794947994056464</x:v>
      </x:c>
      <x:c r="N7" s="18" t="n">
        <x:f>IFERROR(J7/H7,0)</x:f>
        <x:v>1</x:v>
      </x:c>
      <x:c r="O7" s="14" t="n">
        <x:f>IFERROR(I7/H7,0)</x:f>
        <x:v>3.669230769230769</x:v>
      </x:c>
      <x:c r="P7" s="14" t="n">
        <x:f>IFERROR(I7/J7,0)</x:f>
        <x:v>3.669230769230769</x:v>
      </x:c>
      <x:c r="Q7" s="20" t="n">
        <x:f>IFERROR(K7/I7,0)</x:f>
        <x:v>0.2725366876310273</x:v>
      </x:c>
    </x:row>
    <x:row r="8">
      <x:c r="A8" s="12" t="n">
        <x:v>46177</x:v>
      </x:c>
      <x:c r="B8" t="str">
        <x:v>Brand Search</x:v>
      </x:c>
      <x:c r="C8" t="str">
        <x:v>Enabled</x:v>
      </x:c>
      <x:c r="D8" t="str">
        <x:v>Search</x:v>
      </x:c>
      <x:c r="E8" s="14" t="n">
        <x:v>35</x:v>
      </x:c>
      <x:c r="F8" t="str">
        <x:v>USD</x:v>
      </x:c>
      <x:c r="G8" s="16" t="n">
        <x:v>79</x:v>
      </x:c>
      <x:c r="H8" s="16" t="n">
        <x:v>18</x:v>
      </x:c>
      <x:c r="I8" s="14" t="n">
        <x:v>34.53</x:v>
      </x:c>
      <x:c r="J8" s="14" t="n">
        <x:v>18</x:v>
      </x:c>
      <x:c r="K8" s="14" t="n">
        <x:v>18</x:v>
      </x:c>
      <x:c r="L8" t="str">
        <x:v>Page View (Website)</x:v>
      </x:c>
      <x:c r="M8" s="18" t="n">
        <x:f>IFERROR(H8/G8,0)</x:f>
        <x:v>0.22784810126582278</x:v>
      </x:c>
      <x:c r="N8" s="18" t="n">
        <x:f>IFERROR(J8/H8,0)</x:f>
        <x:v>1</x:v>
      </x:c>
      <x:c r="O8" s="14" t="n">
        <x:f>IFERROR(I8/H8,0)</x:f>
        <x:v>1.9183333333333334</x:v>
      </x:c>
      <x:c r="P8" s="14" t="n">
        <x:f>IFERROR(I8/J8,0)</x:f>
        <x:v>1.9183333333333334</x:v>
      </x:c>
      <x:c r="Q8" s="20" t="n">
        <x:f>IFERROR(K8/I8,0)</x:f>
        <x:v>0.5212858384013901</x:v>
      </x:c>
    </x:row>
    <x:row r="9">
      <x:c r="A9" s="12" t="n">
        <x:v>46177</x:v>
      </x:c>
      <x:c r="B9" t="str">
        <x:v>Nonbrand Search</x:v>
      </x:c>
      <x:c r="C9" t="str">
        <x:v>Enabled</x:v>
      </x:c>
      <x:c r="D9" t="str">
        <x:v>Search</x:v>
      </x:c>
      <x:c r="E9" s="14" t="n">
        <x:v>75</x:v>
      </x:c>
      <x:c r="F9" t="str">
        <x:v>USD</x:v>
      </x:c>
      <x:c r="G9" s="16" t="n">
        <x:v>739</x:v>
      </x:c>
      <x:c r="H9" s="16" t="n">
        <x:v>36</x:v>
      </x:c>
      <x:c r="I9" s="14" t="n">
        <x:v>141.86</x:v>
      </x:c>
      <x:c r="J9" s="14" t="n">
        <x:v>36</x:v>
      </x:c>
      <x:c r="K9" s="14" t="n">
        <x:v>36</x:v>
      </x:c>
      <x:c r="L9" t="str">
        <x:v>Page View (Website)</x:v>
      </x:c>
      <x:c r="M9" s="18" t="n">
        <x:f>IFERROR(H9/G9,0)</x:f>
        <x:v>0.04871447902571042</x:v>
      </x:c>
      <x:c r="N9" s="18" t="n">
        <x:f>IFERROR(J9/H9,0)</x:f>
        <x:v>1</x:v>
      </x:c>
      <x:c r="O9" s="14" t="n">
        <x:f>IFERROR(I9/H9,0)</x:f>
        <x:v>3.940555555555556</x:v>
      </x:c>
      <x:c r="P9" s="14" t="n">
        <x:f>IFERROR(I9/J9,0)</x:f>
        <x:v>3.940555555555556</x:v>
      </x:c>
      <x:c r="Q9" s="20" t="n">
        <x:f>IFERROR(K9/I9,0)</x:f>
        <x:v>0.253771323840406</x:v>
      </x:c>
    </x:row>
    <x:row r="10">
      <x:c r="A10" s="12" t="n">
        <x:v>46178</x:v>
      </x:c>
      <x:c r="B10" t="str">
        <x:v>Brand Search</x:v>
      </x:c>
      <x:c r="C10" t="str">
        <x:v>Enabled</x:v>
      </x:c>
      <x:c r="D10" t="str">
        <x:v>Search</x:v>
      </x:c>
      <x:c r="E10" s="14" t="n">
        <x:v>35</x:v>
      </x:c>
      <x:c r="F10" t="str">
        <x:v>USD</x:v>
      </x:c>
      <x:c r="G10" s="16" t="n">
        <x:v>87</x:v>
      </x:c>
      <x:c r="H10" s="16" t="n">
        <x:v>20</x:v>
      </x:c>
      <x:c r="I10" s="14" t="n">
        <x:v>36.94</x:v>
      </x:c>
      <x:c r="J10" s="14" t="n">
        <x:v>19</x:v>
      </x:c>
      <x:c r="K10" s="14" t="n">
        <x:v>19</x:v>
      </x:c>
      <x:c r="L10" t="str">
        <x:v>Page View (Website)</x:v>
      </x:c>
      <x:c r="M10" s="18" t="n">
        <x:f>IFERROR(H10/G10,0)</x:f>
        <x:v>0.22988505747126436</x:v>
      </x:c>
      <x:c r="N10" s="18" t="n">
        <x:f>IFERROR(J10/H10,0)</x:f>
        <x:v>0.95</x:v>
      </x:c>
      <x:c r="O10" s="14" t="n">
        <x:f>IFERROR(I10/H10,0)</x:f>
        <x:v>1.847</x:v>
      </x:c>
      <x:c r="P10" s="14" t="n">
        <x:f>IFERROR(I10/J10,0)</x:f>
        <x:v>1.9442105263157894</x:v>
      </x:c>
      <x:c r="Q10" s="20" t="n">
        <x:f>IFERROR(K10/I10,0)</x:f>
        <x:v>0.5143475906876015</x:v>
      </x:c>
    </x:row>
    <x:row r="11">
      <x:c r="A11" s="12" t="n">
        <x:v>46178</x:v>
      </x:c>
      <x:c r="B11" t="str">
        <x:v>Nonbrand Search</x:v>
      </x:c>
      <x:c r="C11" t="str">
        <x:v>Enabled</x:v>
      </x:c>
      <x:c r="D11" t="str">
        <x:v>Search</x:v>
      </x:c>
      <x:c r="E11" s="14" t="n">
        <x:v>75</x:v>
      </x:c>
      <x:c r="F11" t="str">
        <x:v>USD</x:v>
      </x:c>
      <x:c r="G11" s="16" t="n">
        <x:v>760</x:v>
      </x:c>
      <x:c r="H11" s="16" t="n">
        <x:v>48</x:v>
      </x:c>
      <x:c r="I11" s="14" t="n">
        <x:v>180.61</x:v>
      </x:c>
      <x:c r="J11" s="14" t="n">
        <x:v>47</x:v>
      </x:c>
      <x:c r="K11" s="14" t="n">
        <x:v>47</x:v>
      </x:c>
      <x:c r="L11" t="str">
        <x:v>Page View (Website)</x:v>
      </x:c>
      <x:c r="M11" s="18" t="n">
        <x:f>IFERROR(H11/G11,0)</x:f>
        <x:v>0.06315789473684211</x:v>
      </x:c>
      <x:c r="N11" s="18" t="n">
        <x:f>IFERROR(J11/H11,0)</x:f>
        <x:v>0.9791666666666666</x:v>
      </x:c>
      <x:c r="O11" s="14" t="n">
        <x:f>IFERROR(I11/H11,0)</x:f>
        <x:v>3.7627083333333338</x:v>
      </x:c>
      <x:c r="P11" s="14" t="n">
        <x:f>IFERROR(I11/J11,0)</x:f>
        <x:v>3.842765957446809</x:v>
      </x:c>
      <x:c r="Q11" s="20" t="n">
        <x:f>IFERROR(K11/I11,0)</x:f>
        <x:v>0.2602292231880848</x:v>
      </x:c>
    </x:row>
    <x:row r="12">
      <x:c r="A12" s="12" t="n">
        <x:v>46179</x:v>
      </x:c>
      <x:c r="B12" t="str">
        <x:v>Brand Search</x:v>
      </x:c>
      <x:c r="C12" t="str">
        <x:v>Enabled</x:v>
      </x:c>
      <x:c r="D12" t="str">
        <x:v>Search</x:v>
      </x:c>
      <x:c r="E12" s="14" t="n">
        <x:v>35</x:v>
      </x:c>
      <x:c r="F12" t="str">
        <x:v>USD</x:v>
      </x:c>
      <x:c r="G12" s="16" t="n">
        <x:v>62</x:v>
      </x:c>
      <x:c r="H12" s="16" t="n">
        <x:v>15</x:v>
      </x:c>
      <x:c r="I12" s="14" t="n">
        <x:v>22.96</x:v>
      </x:c>
      <x:c r="J12" s="14" t="n">
        <x:v>15</x:v>
      </x:c>
      <x:c r="K12" s="14" t="n">
        <x:v>15</x:v>
      </x:c>
      <x:c r="L12" t="str">
        <x:v>Page View (Website)</x:v>
      </x:c>
      <x:c r="M12" s="18" t="n">
        <x:f>IFERROR(H12/G12,0)</x:f>
        <x:v>0.24193548387096775</x:v>
      </x:c>
      <x:c r="N12" s="18" t="n">
        <x:f>IFERROR(J12/H12,0)</x:f>
        <x:v>1</x:v>
      </x:c>
      <x:c r="O12" s="14" t="n">
        <x:f>IFERROR(I12/H12,0)</x:f>
        <x:v>1.5306666666666666</x:v>
      </x:c>
      <x:c r="P12" s="14" t="n">
        <x:f>IFERROR(I12/J12,0)</x:f>
        <x:v>1.5306666666666666</x:v>
      </x:c>
      <x:c r="Q12" s="20" t="n">
        <x:f>IFERROR(K12/I12,0)</x:f>
        <x:v>0.6533101045296167</x:v>
      </x:c>
    </x:row>
    <x:row r="13">
      <x:c r="A13" s="12" t="n">
        <x:v>46179</x:v>
      </x:c>
      <x:c r="B13" t="str">
        <x:v>Nonbrand Search</x:v>
      </x:c>
      <x:c r="C13" t="str">
        <x:v>Enabled</x:v>
      </x:c>
      <x:c r="D13" t="str">
        <x:v>Search</x:v>
      </x:c>
      <x:c r="E13" s="14" t="n">
        <x:v>75</x:v>
      </x:c>
      <x:c r="F13" t="str">
        <x:v>USD</x:v>
      </x:c>
      <x:c r="G13" s="16" t="n">
        <x:v>620</x:v>
      </x:c>
      <x:c r="H13" s="16" t="n">
        <x:v>34</x:v>
      </x:c>
      <x:c r="I13" s="14" t="n">
        <x:v>129.07</x:v>
      </x:c>
      <x:c r="J13" s="14" t="n">
        <x:v>33</x:v>
      </x:c>
      <x:c r="K13" s="14" t="n">
        <x:v>33</x:v>
      </x:c>
      <x:c r="L13" t="str">
        <x:v>Page View (Website)</x:v>
      </x:c>
      <x:c r="M13" s="18" t="n">
        <x:f>IFERROR(H13/G13,0)</x:f>
        <x:v>0.054838709677419356</x:v>
      </x:c>
      <x:c r="N13" s="18" t="n">
        <x:f>IFERROR(J13/H13,0)</x:f>
        <x:v>0.9705882352941176</x:v>
      </x:c>
      <x:c r="O13" s="14" t="n">
        <x:f>IFERROR(I13/H13,0)</x:f>
        <x:v>3.796176470588235</x:v>
      </x:c>
      <x:c r="P13" s="14" t="n">
        <x:f>IFERROR(I13/J13,0)</x:f>
        <x:v>3.911212121212121</x:v>
      </x:c>
      <x:c r="Q13" s="20" t="n">
        <x:f>IFERROR(K13/I13,0)</x:f>
        <x:v>0.25567521499961265</x:v>
      </x:c>
    </x:row>
    <x:row r="14">
      <x:c r="A14" s="12" t="n">
        <x:v>46180</x:v>
      </x:c>
      <x:c r="B14" t="str">
        <x:v>Brand Search</x:v>
      </x:c>
      <x:c r="C14" t="str">
        <x:v>Enabled</x:v>
      </x:c>
      <x:c r="D14" t="str">
        <x:v>Search</x:v>
      </x:c>
      <x:c r="E14" s="14" t="n">
        <x:v>35</x:v>
      </x:c>
      <x:c r="F14" t="str">
        <x:v>USD</x:v>
      </x:c>
      <x:c r="G14" s="16" t="n">
        <x:v>65</x:v>
      </x:c>
      <x:c r="H14" s="16" t="n">
        <x:v>16</x:v>
      </x:c>
      <x:c r="I14" s="14" t="n">
        <x:v>27.24</x:v>
      </x:c>
      <x:c r="J14" s="14" t="n">
        <x:v>15</x:v>
      </x:c>
      <x:c r="K14" s="14" t="n">
        <x:v>15</x:v>
      </x:c>
      <x:c r="L14" t="str">
        <x:v>Page View (Website)</x:v>
      </x:c>
      <x:c r="M14" s="18" t="n">
        <x:f>IFERROR(H14/G14,0)</x:f>
        <x:v>0.24615384615384617</x:v>
      </x:c>
      <x:c r="N14" s="18" t="n">
        <x:f>IFERROR(J14/H14,0)</x:f>
        <x:v>0.9375</x:v>
      </x:c>
      <x:c r="O14" s="14" t="n">
        <x:f>IFERROR(I14/H14,0)</x:f>
        <x:v>1.7025</x:v>
      </x:c>
      <x:c r="P14" s="14" t="n">
        <x:f>IFERROR(I14/J14,0)</x:f>
        <x:v>1.8159999999999998</x:v>
      </x:c>
      <x:c r="Q14" s="20" t="n">
        <x:f>IFERROR(K14/I14,0)</x:f>
        <x:v>0.5506607929515419</x:v>
      </x:c>
    </x:row>
    <x:row r="15">
      <x:c r="A15" s="12" t="n">
        <x:v>46180</x:v>
      </x:c>
      <x:c r="B15" t="str">
        <x:v>Nonbrand Search</x:v>
      </x:c>
      <x:c r="C15" t="str">
        <x:v>Enabled</x:v>
      </x:c>
      <x:c r="D15" t="str">
        <x:v>Search</x:v>
      </x:c>
      <x:c r="E15" s="14" t="n">
        <x:v>75</x:v>
      </x:c>
      <x:c r="F15" t="str">
        <x:v>USD</x:v>
      </x:c>
      <x:c r="G15" s="16" t="n">
        <x:v>636</x:v>
      </x:c>
      <x:c r="H15" s="16" t="n">
        <x:v>29</x:v>
      </x:c>
      <x:c r="I15" s="14" t="n">
        <x:v>112.95</x:v>
      </x:c>
      <x:c r="J15" s="14" t="n">
        <x:v>29</x:v>
      </x:c>
      <x:c r="K15" s="14" t="n">
        <x:v>29</x:v>
      </x:c>
      <x:c r="L15" t="str">
        <x:v>Page View (Website)</x:v>
      </x:c>
      <x:c r="M15" s="18" t="n">
        <x:f>IFERROR(H15/G15,0)</x:f>
        <x:v>0.04559748427672956</x:v>
      </x:c>
      <x:c r="N15" s="18" t="n">
        <x:f>IFERROR(J15/H15,0)</x:f>
        <x:v>1</x:v>
      </x:c>
      <x:c r="O15" s="14" t="n">
        <x:f>IFERROR(I15/H15,0)</x:f>
        <x:v>3.8948275862068966</x:v>
      </x:c>
      <x:c r="P15" s="14" t="n">
        <x:f>IFERROR(I15/J15,0)</x:f>
        <x:v>3.8948275862068966</x:v>
      </x:c>
      <x:c r="Q15" s="20" t="n">
        <x:f>IFERROR(K15/I15,0)</x:f>
        <x:v>0.25675077467906154</x:v>
      </x:c>
    </x:row>
    <x:row r="16">
      <x:c r="A16" s="12" t="n">
        <x:v>46181</x:v>
      </x:c>
      <x:c r="B16" t="str">
        <x:v>Brand Search</x:v>
      </x:c>
      <x:c r="C16" t="str">
        <x:v>Enabled</x:v>
      </x:c>
      <x:c r="D16" t="str">
        <x:v>Search</x:v>
      </x:c>
      <x:c r="E16" s="14" t="n">
        <x:v>35</x:v>
      </x:c>
      <x:c r="F16" t="str">
        <x:v>USD</x:v>
      </x:c>
      <x:c r="G16" s="16" t="n">
        <x:v>82</x:v>
      </x:c>
      <x:c r="H16" s="16" t="n">
        <x:v>19</x:v>
      </x:c>
      <x:c r="I16" s="14" t="n">
        <x:v>36.31</x:v>
      </x:c>
      <x:c r="J16" s="14" t="n">
        <x:v>19</x:v>
      </x:c>
      <x:c r="K16" s="14" t="n">
        <x:v>19</x:v>
      </x:c>
      <x:c r="L16" t="str">
        <x:v>Page View (Website)</x:v>
      </x:c>
      <x:c r="M16" s="18" t="n">
        <x:f>IFERROR(H16/G16,0)</x:f>
        <x:v>0.23170731707317074</x:v>
      </x:c>
      <x:c r="N16" s="18" t="n">
        <x:f>IFERROR(J16/H16,0)</x:f>
        <x:v>1</x:v>
      </x:c>
      <x:c r="O16" s="14" t="n">
        <x:f>IFERROR(I16/H16,0)</x:f>
        <x:v>1.9110526315789476</x:v>
      </x:c>
      <x:c r="P16" s="14" t="n">
        <x:f>IFERROR(I16/J16,0)</x:f>
        <x:v>1.9110526315789476</x:v>
      </x:c>
      <x:c r="Q16" s="20" t="n">
        <x:f>IFERROR(K16/I16,0)</x:f>
        <x:v>0.5232718259432663</x:v>
      </x:c>
    </x:row>
    <x:row r="17">
      <x:c r="A17" s="12" t="n">
        <x:v>46181</x:v>
      </x:c>
      <x:c r="B17" t="str">
        <x:v>Nonbrand Search</x:v>
      </x:c>
      <x:c r="C17" t="str">
        <x:v>Enabled</x:v>
      </x:c>
      <x:c r="D17" t="str">
        <x:v>Search</x:v>
      </x:c>
      <x:c r="E17" s="14" t="n">
        <x:v>75</x:v>
      </x:c>
      <x:c r="F17" t="str">
        <x:v>USD</x:v>
      </x:c>
      <x:c r="G17" s="16" t="n">
        <x:v>785</x:v>
      </x:c>
      <x:c r="H17" s="16" t="n">
        <x:v>42</x:v>
      </x:c>
      <x:c r="I17" s="14" t="n">
        <x:v>158.63</x:v>
      </x:c>
      <x:c r="J17" s="14" t="n">
        <x:v>42</x:v>
      </x:c>
      <x:c r="K17" s="14" t="n">
        <x:v>42</x:v>
      </x:c>
      <x:c r="L17" t="str">
        <x:v>Page View (Website)</x:v>
      </x:c>
      <x:c r="M17" s="18" t="n">
        <x:f>IFERROR(H17/G17,0)</x:f>
        <x:v>0.0535031847133758</x:v>
      </x:c>
      <x:c r="N17" s="18" t="n">
        <x:f>IFERROR(J17/H17,0)</x:f>
        <x:v>1</x:v>
      </x:c>
      <x:c r="O17" s="14" t="n">
        <x:f>IFERROR(I17/H17,0)</x:f>
        <x:v>3.776904761904762</x:v>
      </x:c>
      <x:c r="P17" s="14" t="n">
        <x:f>IFERROR(I17/J17,0)</x:f>
        <x:v>3.776904761904762</x:v>
      </x:c>
      <x:c r="Q17" s="20" t="n">
        <x:f>IFERROR(K17/I17,0)</x:f>
        <x:v>0.26476706801992056</x:v>
      </x:c>
    </x:row>
    <x:row r="18">
      <x:c r="A18" s="12" t="n">
        <x:v>46182</x:v>
      </x:c>
      <x:c r="B18" t="str">
        <x:v>Brand Search</x:v>
      </x:c>
      <x:c r="C18" t="str">
        <x:v>Enabled</x:v>
      </x:c>
      <x:c r="D18" t="str">
        <x:v>Search</x:v>
      </x:c>
      <x:c r="E18" s="14" t="n">
        <x:v>35</x:v>
      </x:c>
      <x:c r="F18" t="str">
        <x:v>USD</x:v>
      </x:c>
      <x:c r="G18" s="16" t="n">
        <x:v>83</x:v>
      </x:c>
      <x:c r="H18" s="16" t="n">
        <x:v>21</x:v>
      </x:c>
      <x:c r="I18" s="14" t="n">
        <x:v>32.46</x:v>
      </x:c>
      <x:c r="J18" s="14" t="n">
        <x:v>21</x:v>
      </x:c>
      <x:c r="K18" s="14" t="n">
        <x:v>21</x:v>
      </x:c>
      <x:c r="L18" t="str">
        <x:v>Page View (Website)</x:v>
      </x:c>
      <x:c r="M18" s="18" t="n">
        <x:f>IFERROR(H18/G18,0)</x:f>
        <x:v>0.25301204819277107</x:v>
      </x:c>
      <x:c r="N18" s="18" t="n">
        <x:f>IFERROR(J18/H18,0)</x:f>
        <x:v>1</x:v>
      </x:c>
      <x:c r="O18" s="14" t="n">
        <x:f>IFERROR(I18/H18,0)</x:f>
        <x:v>1.5457142857142858</x:v>
      </x:c>
      <x:c r="P18" s="14" t="n">
        <x:f>IFERROR(I18/J18,0)</x:f>
        <x:v>1.5457142857142858</x:v>
      </x:c>
      <x:c r="Q18" s="20" t="n">
        <x:f>IFERROR(K18/I18,0)</x:f>
        <x:v>0.6469500924214417</x:v>
      </x:c>
    </x:row>
    <x:row r="19">
      <x:c r="A19" s="12" t="n">
        <x:v>46182</x:v>
      </x:c>
      <x:c r="B19" t="str">
        <x:v>Nonbrand Search</x:v>
      </x:c>
      <x:c r="C19" t="str">
        <x:v>Enabled</x:v>
      </x:c>
      <x:c r="D19" t="str">
        <x:v>Search</x:v>
      </x:c>
      <x:c r="E19" s="14" t="n">
        <x:v>75</x:v>
      </x:c>
      <x:c r="F19" t="str">
        <x:v>USD</x:v>
      </x:c>
      <x:c r="G19" s="16" t="n">
        <x:v>792</x:v>
      </x:c>
      <x:c r="H19" s="16" t="n">
        <x:v>41</x:v>
      </x:c>
      <x:c r="I19" s="14" t="n">
        <x:v>152.48</x:v>
      </x:c>
      <x:c r="J19" s="14" t="n">
        <x:v>41</x:v>
      </x:c>
      <x:c r="K19" s="14" t="n">
        <x:v>41</x:v>
      </x:c>
      <x:c r="L19" t="str">
        <x:v>Page View (Website)</x:v>
      </x:c>
      <x:c r="M19" s="18" t="n">
        <x:f>IFERROR(H19/G19,0)</x:f>
        <x:v>0.05176767676767677</x:v>
      </x:c>
      <x:c r="N19" s="18" t="n">
        <x:f>IFERROR(J19/H19,0)</x:f>
        <x:v>1</x:v>
      </x:c>
      <x:c r="O19" s="14" t="n">
        <x:f>IFERROR(I19/H19,0)</x:f>
        <x:v>3.719024390243902</x:v>
      </x:c>
      <x:c r="P19" s="14" t="n">
        <x:f>IFERROR(I19/J19,0)</x:f>
        <x:v>3.719024390243902</x:v>
      </x:c>
      <x:c r="Q19" s="20" t="n">
        <x:f>IFERROR(K19/I19,0)</x:f>
        <x:v>0.26888772298006297</x:v>
      </x:c>
    </x:row>
    <x:row r="20">
      <x:c r="A20" s="12" t="n">
        <x:v>46183</x:v>
      </x:c>
      <x:c r="B20" t="str">
        <x:v>Brand Search</x:v>
      </x:c>
      <x:c r="C20" t="str">
        <x:v>Enabled</x:v>
      </x:c>
      <x:c r="D20" t="str">
        <x:v>Search</x:v>
      </x:c>
      <x:c r="E20" s="14" t="n">
        <x:v>35</x:v>
      </x:c>
      <x:c r="F20" t="str">
        <x:v>USD</x:v>
      </x:c>
      <x:c r="G20" s="16" t="n">
        <x:v>89</x:v>
      </x:c>
      <x:c r="H20" s="16" t="n">
        <x:v>20</x:v>
      </x:c>
      <x:c r="I20" s="14" t="n">
        <x:v>38.16</x:v>
      </x:c>
      <x:c r="J20" s="14" t="n">
        <x:v>20</x:v>
      </x:c>
      <x:c r="K20" s="14" t="n">
        <x:v>20</x:v>
      </x:c>
      <x:c r="L20" t="str">
        <x:v>Page View (Website)</x:v>
      </x:c>
      <x:c r="M20" s="18" t="n">
        <x:f>IFERROR(H20/G20,0)</x:f>
        <x:v>0.2247191011235955</x:v>
      </x:c>
      <x:c r="N20" s="18" t="n">
        <x:f>IFERROR(J20/H20,0)</x:f>
        <x:v>1</x:v>
      </x:c>
      <x:c r="O20" s="14" t="n">
        <x:f>IFERROR(I20/H20,0)</x:f>
        <x:v>1.908</x:v>
      </x:c>
      <x:c r="P20" s="14" t="n">
        <x:f>IFERROR(I20/J20,0)</x:f>
        <x:v>1.908</x:v>
      </x:c>
      <x:c r="Q20" s="20" t="n">
        <x:f>IFERROR(K20/I20,0)</x:f>
        <x:v>0.5241090146750524</x:v>
      </x:c>
    </x:row>
    <x:row r="21">
      <x:c r="A21" s="12" t="n">
        <x:v>46183</x:v>
      </x:c>
      <x:c r="B21" t="str">
        <x:v>Nonbrand Search</x:v>
      </x:c>
      <x:c r="C21" t="str">
        <x:v>Enabled</x:v>
      </x:c>
      <x:c r="D21" t="str">
        <x:v>Search</x:v>
      </x:c>
      <x:c r="E21" s="14" t="n">
        <x:v>75</x:v>
      </x:c>
      <x:c r="F21" t="str">
        <x:v>USD</x:v>
      </x:c>
      <x:c r="G21" s="16" t="n">
        <x:v>722</x:v>
      </x:c>
      <x:c r="H21" s="16" t="n">
        <x:v>35</x:v>
      </x:c>
      <x:c r="I21" s="14" t="n">
        <x:v>125.13</x:v>
      </x:c>
      <x:c r="J21" s="14" t="n">
        <x:v>34</x:v>
      </x:c>
      <x:c r="K21" s="14" t="n">
        <x:v>34</x:v>
      </x:c>
      <x:c r="L21" t="str">
        <x:v>Page View (Website)</x:v>
      </x:c>
      <x:c r="M21" s="18" t="n">
        <x:f>IFERROR(H21/G21,0)</x:f>
        <x:v>0.04847645429362881</x:v>
      </x:c>
      <x:c r="N21" s="18" t="n">
        <x:f>IFERROR(J21/H21,0)</x:f>
        <x:v>0.9714285714285714</x:v>
      </x:c>
      <x:c r="O21" s="14" t="n">
        <x:f>IFERROR(I21/H21,0)</x:f>
        <x:v>3.575142857142857</x:v>
      </x:c>
      <x:c r="P21" s="14" t="n">
        <x:f>IFERROR(I21/J21,0)</x:f>
        <x:v>3.6802941176470587</x:v>
      </x:c>
      <x:c r="Q21" s="20" t="n">
        <x:f>IFERROR(K21/I21,0)</x:f>
        <x:v>0.2717174138895549</x:v>
      </x:c>
    </x:row>
    <x:row r="22">
      <x:c r="A22" s="12" t="n">
        <x:v>46184</x:v>
      </x:c>
      <x:c r="B22" t="str">
        <x:v>Brand Search</x:v>
      </x:c>
      <x:c r="C22" t="str">
        <x:v>Enabled</x:v>
      </x:c>
      <x:c r="D22" t="str">
        <x:v>Search</x:v>
      </x:c>
      <x:c r="E22" s="14" t="n">
        <x:v>35</x:v>
      </x:c>
      <x:c r="F22" t="str">
        <x:v>USD</x:v>
      </x:c>
      <x:c r="G22" s="16" t="n">
        <x:v>82</x:v>
      </x:c>
      <x:c r="H22" s="16" t="n">
        <x:v>21</x:v>
      </x:c>
      <x:c r="I22" s="14" t="n">
        <x:v>32.58</x:v>
      </x:c>
      <x:c r="J22" s="14" t="n">
        <x:v>21</x:v>
      </x:c>
      <x:c r="K22" s="14" t="n">
        <x:v>21</x:v>
      </x:c>
      <x:c r="L22" t="str">
        <x:v>Page View (Website)</x:v>
      </x:c>
      <x:c r="M22" s="18" t="n">
        <x:f>IFERROR(H22/G22,0)</x:f>
        <x:v>0.25609756097560976</x:v>
      </x:c>
      <x:c r="N22" s="18" t="n">
        <x:f>IFERROR(J22/H22,0)</x:f>
        <x:v>1</x:v>
      </x:c>
      <x:c r="O22" s="14" t="n">
        <x:f>IFERROR(I22/H22,0)</x:f>
        <x:v>1.5514285714285714</x:v>
      </x:c>
      <x:c r="P22" s="14" t="n">
        <x:f>IFERROR(I22/J22,0)</x:f>
        <x:v>1.5514285714285714</x:v>
      </x:c>
      <x:c r="Q22" s="20" t="n">
        <x:f>IFERROR(K22/I22,0)</x:f>
        <x:v>0.6445672191528545</x:v>
      </x:c>
    </x:row>
    <x:row r="23">
      <x:c r="A23" s="12" t="n">
        <x:v>46184</x:v>
      </x:c>
      <x:c r="B23" t="str">
        <x:v>Nonbrand Search</x:v>
      </x:c>
      <x:c r="C23" t="str">
        <x:v>Enabled</x:v>
      </x:c>
      <x:c r="D23" t="str">
        <x:v>Search</x:v>
      </x:c>
      <x:c r="E23" s="14" t="n">
        <x:v>75</x:v>
      </x:c>
      <x:c r="F23" t="str">
        <x:v>USD</x:v>
      </x:c>
      <x:c r="G23" s="16" t="n">
        <x:v>717</x:v>
      </x:c>
      <x:c r="H23" s="16" t="n">
        <x:v>33</x:v>
      </x:c>
      <x:c r="I23" s="14" t="n">
        <x:v>121.31</x:v>
      </x:c>
      <x:c r="J23" s="14" t="n">
        <x:v>32</x:v>
      </x:c>
      <x:c r="K23" s="14" t="n">
        <x:v>32</x:v>
      </x:c>
      <x:c r="L23" t="str">
        <x:v>Page View (Website)</x:v>
      </x:c>
      <x:c r="M23" s="18" t="n">
        <x:f>IFERROR(H23/G23,0)</x:f>
        <x:v>0.04602510460251046</x:v>
      </x:c>
      <x:c r="N23" s="18" t="n">
        <x:f>IFERROR(J23/H23,0)</x:f>
        <x:v>0.9696969696969697</x:v>
      </x:c>
      <x:c r="O23" s="14" t="n">
        <x:f>IFERROR(I23/H23,0)</x:f>
        <x:v>3.6760606060606063</x:v>
      </x:c>
      <x:c r="P23" s="14" t="n">
        <x:f>IFERROR(I23/J23,0)</x:f>
        <x:v>3.7909375</x:v>
      </x:c>
      <x:c r="Q23" s="20" t="n">
        <x:f>IFERROR(K23/I23,0)</x:f>
        <x:v>0.2637869920039568</x:v>
      </x:c>
    </x:row>
    <x:row r="24">
      <x:c r="A24" s="12" t="n">
        <x:v>46185</x:v>
      </x:c>
      <x:c r="B24" t="str">
        <x:v>Brand Search</x:v>
      </x:c>
      <x:c r="C24" t="str">
        <x:v>Enabled</x:v>
      </x:c>
      <x:c r="D24" t="str">
        <x:v>Search</x:v>
      </x:c>
      <x:c r="E24" s="14" t="n">
        <x:v>35</x:v>
      </x:c>
      <x:c r="F24" t="str">
        <x:v>USD</x:v>
      </x:c>
      <x:c r="G24" s="16" t="n">
        <x:v>84</x:v>
      </x:c>
      <x:c r="H24" s="16" t="n">
        <x:v>19</x:v>
      </x:c>
      <x:c r="I24" s="14" t="n">
        <x:v>29.02</x:v>
      </x:c>
      <x:c r="J24" s="14" t="n">
        <x:v>19</x:v>
      </x:c>
      <x:c r="K24" s="14" t="n">
        <x:v>19</x:v>
      </x:c>
      <x:c r="L24" t="str">
        <x:v>Page View (Website)</x:v>
      </x:c>
      <x:c r="M24" s="18" t="n">
        <x:f>IFERROR(H24/G24,0)</x:f>
        <x:v>0.2261904761904762</x:v>
      </x:c>
      <x:c r="N24" s="18" t="n">
        <x:f>IFERROR(J24/H24,0)</x:f>
        <x:v>1</x:v>
      </x:c>
      <x:c r="O24" s="14" t="n">
        <x:f>IFERROR(I24/H24,0)</x:f>
        <x:v>1.5273684210526315</x:v>
      </x:c>
      <x:c r="P24" s="14" t="n">
        <x:f>IFERROR(I24/J24,0)</x:f>
        <x:v>1.5273684210526315</x:v>
      </x:c>
      <x:c r="Q24" s="20" t="n">
        <x:f>IFERROR(K24/I24,0)</x:f>
        <x:v>0.6547208821502413</x:v>
      </x:c>
    </x:row>
    <x:row r="25">
      <x:c r="A25" s="12" t="n">
        <x:v>46185</x:v>
      </x:c>
      <x:c r="B25" t="str">
        <x:v>Nonbrand Search</x:v>
      </x:c>
      <x:c r="C25" t="str">
        <x:v>Enabled</x:v>
      </x:c>
      <x:c r="D25" t="str">
        <x:v>Search</x:v>
      </x:c>
      <x:c r="E25" s="14" t="n">
        <x:v>75</x:v>
      </x:c>
      <x:c r="F25" t="str">
        <x:v>USD</x:v>
      </x:c>
      <x:c r="G25" s="16" t="n">
        <x:v>759</x:v>
      </x:c>
      <x:c r="H25" s="16" t="n">
        <x:v>41</x:v>
      </x:c>
      <x:c r="I25" s="14" t="n">
        <x:v>161.3</x:v>
      </x:c>
      <x:c r="J25" s="14" t="n">
        <x:v>40</x:v>
      </x:c>
      <x:c r="K25" s="14" t="n">
        <x:v>40</x:v>
      </x:c>
      <x:c r="L25" t="str">
        <x:v>Page View (Website)</x:v>
      </x:c>
      <x:c r="M25" s="18" t="n">
        <x:f>IFERROR(H25/G25,0)</x:f>
        <x:v>0.05401844532279315</x:v>
      </x:c>
      <x:c r="N25" s="18" t="n">
        <x:f>IFERROR(J25/H25,0)</x:f>
        <x:v>0.975609756097561</x:v>
      </x:c>
      <x:c r="O25" s="14" t="n">
        <x:f>IFERROR(I25/H25,0)</x:f>
        <x:v>3.934146341463415</x:v>
      </x:c>
      <x:c r="P25" s="14" t="n">
        <x:f>IFERROR(I25/J25,0)</x:f>
        <x:v>4.032500000000001</x:v>
      </x:c>
      <x:c r="Q25" s="20" t="n">
        <x:f>IFERROR(K25/I25,0)</x:f>
        <x:v>0.2479851208927464</x:v>
      </x:c>
    </x:row>
    <x:row r="26">
      <x:c r="A26" s="12" t="n">
        <x:v>46186</x:v>
      </x:c>
      <x:c r="B26" t="str">
        <x:v>Brand Search</x:v>
      </x:c>
      <x:c r="C26" t="str">
        <x:v>Enabled</x:v>
      </x:c>
      <x:c r="D26" t="str">
        <x:v>Search</x:v>
      </x:c>
      <x:c r="E26" s="14" t="n">
        <x:v>35</x:v>
      </x:c>
      <x:c r="F26" t="str">
        <x:v>USD</x:v>
      </x:c>
      <x:c r="G26" s="16" t="n">
        <x:v>63</x:v>
      </x:c>
      <x:c r="H26" s="16" t="n">
        <x:v>15</x:v>
      </x:c>
      <x:c r="I26" s="14" t="n">
        <x:v>23.67</x:v>
      </x:c>
      <x:c r="J26" s="14" t="n">
        <x:v>15</x:v>
      </x:c>
      <x:c r="K26" s="14" t="n">
        <x:v>15</x:v>
      </x:c>
      <x:c r="L26" t="str">
        <x:v>Page View (Website)</x:v>
      </x:c>
      <x:c r="M26" s="18" t="n">
        <x:f>IFERROR(H26/G26,0)</x:f>
        <x:v>0.23809523809523808</x:v>
      </x:c>
      <x:c r="N26" s="18" t="n">
        <x:f>IFERROR(J26/H26,0)</x:f>
        <x:v>1</x:v>
      </x:c>
      <x:c r="O26" s="14" t="n">
        <x:f>IFERROR(I26/H26,0)</x:f>
        <x:v>1.578</x:v>
      </x:c>
      <x:c r="P26" s="14" t="n">
        <x:f>IFERROR(I26/J26,0)</x:f>
        <x:v>1.578</x:v>
      </x:c>
      <x:c r="Q26" s="20" t="n">
        <x:f>IFERROR(K26/I26,0)</x:f>
        <x:v>0.6337135614702154</x:v>
      </x:c>
    </x:row>
    <x:row r="27">
      <x:c r="A27" s="12" t="n">
        <x:v>46186</x:v>
      </x:c>
      <x:c r="B27" t="str">
        <x:v>Nonbrand Search</x:v>
      </x:c>
      <x:c r="C27" t="str">
        <x:v>Enabled</x:v>
      </x:c>
      <x:c r="D27" t="str">
        <x:v>Search</x:v>
      </x:c>
      <x:c r="E27" s="14" t="n">
        <x:v>75</x:v>
      </x:c>
      <x:c r="F27" t="str">
        <x:v>USD</x:v>
      </x:c>
      <x:c r="G27" s="16" t="n">
        <x:v>533</x:v>
      </x:c>
      <x:c r="H27" s="16" t="n">
        <x:v>27</x:v>
      </x:c>
      <x:c r="I27" s="14" t="n">
        <x:v>106.8</x:v>
      </x:c>
      <x:c r="J27" s="14" t="n">
        <x:v>26</x:v>
      </x:c>
      <x:c r="K27" s="14" t="n">
        <x:v>26</x:v>
      </x:c>
      <x:c r="L27" t="str">
        <x:v>Page View (Website)</x:v>
      </x:c>
      <x:c r="M27" s="18" t="n">
        <x:f>IFERROR(H27/G27,0)</x:f>
        <x:v>0.05065666041275797</x:v>
      </x:c>
      <x:c r="N27" s="18" t="n">
        <x:f>IFERROR(J27/H27,0)</x:f>
        <x:v>0.9629629629629629</x:v>
      </x:c>
      <x:c r="O27" s="14" t="n">
        <x:f>IFERROR(I27/H27,0)</x:f>
        <x:v>3.9555555555555553</x:v>
      </x:c>
      <x:c r="P27" s="14" t="n">
        <x:f>IFERROR(I27/J27,0)</x:f>
        <x:v>4.107692307692307</x:v>
      </x:c>
      <x:c r="Q27" s="20" t="n">
        <x:f>IFERROR(K27/I27,0)</x:f>
        <x:v>0.24344569288389514</x:v>
      </x:c>
    </x:row>
    <x:row r="28">
      <x:c r="A28" s="12" t="n">
        <x:v>46187</x:v>
      </x:c>
      <x:c r="B28" t="str">
        <x:v>Brand Search</x:v>
      </x:c>
      <x:c r="C28" t="str">
        <x:v>Enabled</x:v>
      </x:c>
      <x:c r="D28" t="str">
        <x:v>Search</x:v>
      </x:c>
      <x:c r="E28" s="14" t="n">
        <x:v>35</x:v>
      </x:c>
      <x:c r="F28" t="str">
        <x:v>USD</x:v>
      </x:c>
      <x:c r="G28" s="16" t="n">
        <x:v>63</x:v>
      </x:c>
      <x:c r="H28" s="16" t="n">
        <x:v>15</x:v>
      </x:c>
      <x:c r="I28" s="14" t="n">
        <x:v>28.68</x:v>
      </x:c>
      <x:c r="J28" s="14" t="n">
        <x:v>14</x:v>
      </x:c>
      <x:c r="K28" s="14" t="n">
        <x:v>14</x:v>
      </x:c>
      <x:c r="L28" t="str">
        <x:v>Page View (Website)</x:v>
      </x:c>
      <x:c r="M28" s="18" t="n">
        <x:f>IFERROR(H28/G28,0)</x:f>
        <x:v>0.23809523809523808</x:v>
      </x:c>
      <x:c r="N28" s="18" t="n">
        <x:f>IFERROR(J28/H28,0)</x:f>
        <x:v>0.9333333333333333</x:v>
      </x:c>
      <x:c r="O28" s="14" t="n">
        <x:f>IFERROR(I28/H28,0)</x:f>
        <x:v>1.912</x:v>
      </x:c>
      <x:c r="P28" s="14" t="n">
        <x:f>IFERROR(I28/J28,0)</x:f>
        <x:v>2.0485714285714285</x:v>
      </x:c>
      <x:c r="Q28" s="20" t="n">
        <x:f>IFERROR(K28/I28,0)</x:f>
        <x:v>0.4881450488145049</x:v>
      </x:c>
    </x:row>
    <x:row r="29">
      <x:c r="A29" s="12" t="n">
        <x:v>46187</x:v>
      </x:c>
      <x:c r="B29" t="str">
        <x:v>Nonbrand Search</x:v>
      </x:c>
      <x:c r="C29" t="str">
        <x:v>Enabled</x:v>
      </x:c>
      <x:c r="D29" t="str">
        <x:v>Search</x:v>
      </x:c>
      <x:c r="E29" s="14" t="n">
        <x:v>75</x:v>
      </x:c>
      <x:c r="F29" t="str">
        <x:v>USD</x:v>
      </x:c>
      <x:c r="G29" s="16" t="n">
        <x:v>472</x:v>
      </x:c>
      <x:c r="H29" s="16" t="n">
        <x:v>22</x:v>
      </x:c>
      <x:c r="I29" s="14" t="n">
        <x:v>79.39</x:v>
      </x:c>
      <x:c r="J29" s="14" t="n">
        <x:v>21</x:v>
      </x:c>
      <x:c r="K29" s="14" t="n">
        <x:v>21</x:v>
      </x:c>
      <x:c r="L29" t="str">
        <x:v>Page View (Website)</x:v>
      </x:c>
      <x:c r="M29" s="18" t="n">
        <x:f>IFERROR(H29/G29,0)</x:f>
        <x:v>0.046610169491525424</x:v>
      </x:c>
      <x:c r="N29" s="18" t="n">
        <x:f>IFERROR(J29/H29,0)</x:f>
        <x:v>0.9545454545454546</x:v>
      </x:c>
      <x:c r="O29" s="14" t="n">
        <x:f>IFERROR(I29/H29,0)</x:f>
        <x:v>3.608636363636364</x:v>
      </x:c>
      <x:c r="P29" s="14" t="n">
        <x:f>IFERROR(I29/J29,0)</x:f>
        <x:v>3.7804761904761905</x:v>
      </x:c>
      <x:c r="Q29" s="20" t="n">
        <x:f>IFERROR(K29/I29,0)</x:f>
        <x:v>0.26451694168031237</x:v>
      </x:c>
    </x:row>
    <x:row r="30">
      <x:c r="A30" s="12" t="n">
        <x:v>46188</x:v>
      </x:c>
      <x:c r="B30" t="str">
        <x:v>Brand Search</x:v>
      </x:c>
      <x:c r="C30" t="str">
        <x:v>Enabled</x:v>
      </x:c>
      <x:c r="D30" t="str">
        <x:v>Search</x:v>
      </x:c>
      <x:c r="E30" s="14" t="n">
        <x:v>35</x:v>
      </x:c>
      <x:c r="F30" t="str">
        <x:v>USD</x:v>
      </x:c>
      <x:c r="G30" s="16" t="n">
        <x:v>72</x:v>
      </x:c>
      <x:c r="H30" s="16" t="n">
        <x:v>16</x:v>
      </x:c>
      <x:c r="I30" s="14" t="n">
        <x:v>28.81</x:v>
      </x:c>
      <x:c r="J30" s="14" t="n">
        <x:v>15</x:v>
      </x:c>
      <x:c r="K30" s="14" t="n">
        <x:v>15</x:v>
      </x:c>
      <x:c r="L30" t="str">
        <x:v>Page View (Website)</x:v>
      </x:c>
      <x:c r="M30" s="18" t="n">
        <x:f>IFERROR(H30/G30,0)</x:f>
        <x:v>0.2222222222222222</x:v>
      </x:c>
      <x:c r="N30" s="18" t="n">
        <x:f>IFERROR(J30/H30,0)</x:f>
        <x:v>0.9375</x:v>
      </x:c>
      <x:c r="O30" s="14" t="n">
        <x:f>IFERROR(I30/H30,0)</x:f>
        <x:v>1.800625</x:v>
      </x:c>
      <x:c r="P30" s="14" t="n">
        <x:f>IFERROR(I30/J30,0)</x:f>
        <x:v>1.9206666666666665</x:v>
      </x:c>
      <x:c r="Q30" s="20" t="n">
        <x:f>IFERROR(K30/I30,0)</x:f>
        <x:v>0.5206525511975009</x:v>
      </x:c>
    </x:row>
    <x:row r="31">
      <x:c r="A31" s="12" t="n">
        <x:v>46188</x:v>
      </x:c>
      <x:c r="B31" t="str">
        <x:v>Nonbrand Search</x:v>
      </x:c>
      <x:c r="C31" t="str">
        <x:v>Enabled</x:v>
      </x:c>
      <x:c r="D31" t="str">
        <x:v>Search</x:v>
      </x:c>
      <x:c r="E31" s="14" t="n">
        <x:v>75</x:v>
      </x:c>
      <x:c r="F31" t="str">
        <x:v>USD</x:v>
      </x:c>
      <x:c r="G31" s="16" t="n">
        <x:v>656</x:v>
      </x:c>
      <x:c r="H31" s="16" t="n">
        <x:v>37</x:v>
      </x:c>
      <x:c r="I31" s="14" t="n">
        <x:v>136.88</x:v>
      </x:c>
      <x:c r="J31" s="14" t="n">
        <x:v>37</x:v>
      </x:c>
      <x:c r="K31" s="14" t="n">
        <x:v>37</x:v>
      </x:c>
      <x:c r="L31" t="str">
        <x:v>Page View (Website)</x:v>
      </x:c>
      <x:c r="M31" s="18" t="n">
        <x:f>IFERROR(H31/G31,0)</x:f>
        <x:v>0.056402439024390245</x:v>
      </x:c>
      <x:c r="N31" s="18" t="n">
        <x:f>IFERROR(J31/H31,0)</x:f>
        <x:v>1</x:v>
      </x:c>
      <x:c r="O31" s="14" t="n">
        <x:f>IFERROR(I31/H31,0)</x:f>
        <x:v>3.6994594594594594</x:v>
      </x:c>
      <x:c r="P31" s="14" t="n">
        <x:f>IFERROR(I31/J31,0)</x:f>
        <x:v>3.6994594594594594</x:v>
      </x:c>
      <x:c r="Q31" s="20" t="n">
        <x:f>IFERROR(K31/I31,0)</x:f>
        <x:v>0.27030976037405025</x:v>
      </x:c>
    </x:row>
    <x:row r="32">
      <x:c r="A32" s="12" t="n">
        <x:v>46189</x:v>
      </x:c>
      <x:c r="B32" t="str">
        <x:v>Brand Search</x:v>
      </x:c>
      <x:c r="C32" t="str">
        <x:v>Enabled</x:v>
      </x:c>
      <x:c r="D32" t="str">
        <x:v>Search</x:v>
      </x:c>
      <x:c r="E32" s="14" t="n">
        <x:v>35</x:v>
      </x:c>
      <x:c r="F32" t="str">
        <x:v>USD</x:v>
      </x:c>
      <x:c r="G32" s="16" t="n">
        <x:v>77</x:v>
      </x:c>
      <x:c r="H32" s="16" t="n">
        <x:v>17</x:v>
      </x:c>
      <x:c r="I32" s="14" t="n">
        <x:v>29.05</x:v>
      </x:c>
      <x:c r="J32" s="14" t="n">
        <x:v>17</x:v>
      </x:c>
      <x:c r="K32" s="14" t="n">
        <x:v>17</x:v>
      </x:c>
      <x:c r="L32" t="str">
        <x:v>Page View (Website)</x:v>
      </x:c>
      <x:c r="M32" s="18" t="n">
        <x:f>IFERROR(H32/G32,0)</x:f>
        <x:v>0.22077922077922077</x:v>
      </x:c>
      <x:c r="N32" s="18" t="n">
        <x:f>IFERROR(J32/H32,0)</x:f>
        <x:v>1</x:v>
      </x:c>
      <x:c r="O32" s="14" t="n">
        <x:f>IFERROR(I32/H32,0)</x:f>
        <x:v>1.7088235294117649</x:v>
      </x:c>
      <x:c r="P32" s="14" t="n">
        <x:f>IFERROR(I32/J32,0)</x:f>
        <x:v>1.7088235294117649</x:v>
      </x:c>
      <x:c r="Q32" s="20" t="n">
        <x:f>IFERROR(K32/I32,0)</x:f>
        <x:v>0.5851979345955249</x:v>
      </x:c>
    </x:row>
    <x:row r="33">
      <x:c r="A33" s="12" t="n">
        <x:v>46189</x:v>
      </x:c>
      <x:c r="B33" t="str">
        <x:v>Nonbrand Search</x:v>
      </x:c>
      <x:c r="C33" t="str">
        <x:v>Enabled</x:v>
      </x:c>
      <x:c r="D33" t="str">
        <x:v>Search</x:v>
      </x:c>
      <x:c r="E33" s="14" t="n">
        <x:v>75</x:v>
      </x:c>
      <x:c r="F33" t="str">
        <x:v>USD</x:v>
      </x:c>
      <x:c r="G33" s="16" t="n">
        <x:v>632</x:v>
      </x:c>
      <x:c r="H33" s="16" t="n">
        <x:v>33</x:v>
      </x:c>
      <x:c r="I33" s="14" t="n">
        <x:v>129.86</x:v>
      </x:c>
      <x:c r="J33" s="14" t="n">
        <x:v>32</x:v>
      </x:c>
      <x:c r="K33" s="14" t="n">
        <x:v>32</x:v>
      </x:c>
      <x:c r="L33" t="str">
        <x:v>Page View (Website)</x:v>
      </x:c>
      <x:c r="M33" s="18" t="n">
        <x:f>IFERROR(H33/G33,0)</x:f>
        <x:v>0.05221518987341772</x:v>
      </x:c>
      <x:c r="N33" s="18" t="n">
        <x:f>IFERROR(J33/H33,0)</x:f>
        <x:v>0.9696969696969697</x:v>
      </x:c>
      <x:c r="O33" s="14" t="n">
        <x:f>IFERROR(I33/H33,0)</x:f>
        <x:v>3.9351515151515155</x:v>
      </x:c>
      <x:c r="P33" s="14" t="n">
        <x:f>IFERROR(I33/J33,0)</x:f>
        <x:v>4.058125</x:v>
      </x:c>
      <x:c r="Q33" s="20" t="n">
        <x:f>IFERROR(K33/I33,0)</x:f>
        <x:v>0.24641922069921451</x:v>
      </x:c>
    </x:row>
    <x:row r="34">
      <x:c r="A34" s="12" t="n">
        <x:v>46190</x:v>
      </x:c>
      <x:c r="B34" t="str">
        <x:v>Brand Search</x:v>
      </x:c>
      <x:c r="C34" t="str">
        <x:v>Enabled</x:v>
      </x:c>
      <x:c r="D34" t="str">
        <x:v>Search</x:v>
      </x:c>
      <x:c r="E34" s="14" t="n">
        <x:v>35</x:v>
      </x:c>
      <x:c r="F34" t="str">
        <x:v>USD</x:v>
      </x:c>
      <x:c r="G34" s="16" t="n">
        <x:v>70</x:v>
      </x:c>
      <x:c r="H34" s="16" t="n">
        <x:v>17</x:v>
      </x:c>
      <x:c r="I34" s="14" t="n">
        <x:v>27.47</x:v>
      </x:c>
      <x:c r="J34" s="14" t="n">
        <x:v>16</x:v>
      </x:c>
      <x:c r="K34" s="14" t="n">
        <x:v>16</x:v>
      </x:c>
      <x:c r="L34" t="str">
        <x:v>Page View (Website)</x:v>
      </x:c>
      <x:c r="M34" s="18" t="n">
        <x:f>IFERROR(H34/G34,0)</x:f>
        <x:v>0.24285714285714285</x:v>
      </x:c>
      <x:c r="N34" s="18" t="n">
        <x:f>IFERROR(J34/H34,0)</x:f>
        <x:v>0.9411764705882353</x:v>
      </x:c>
      <x:c r="O34" s="14" t="n">
        <x:f>IFERROR(I34/H34,0)</x:f>
        <x:v>1.6158823529411763</x:v>
      </x:c>
      <x:c r="P34" s="14" t="n">
        <x:f>IFERROR(I34/J34,0)</x:f>
        <x:v>1.716875</x:v>
      </x:c>
      <x:c r="Q34" s="20" t="n">
        <x:f>IFERROR(K34/I34,0)</x:f>
        <x:v>0.5824535857298871</x:v>
      </x:c>
    </x:row>
    <x:row r="35">
      <x:c r="A35" s="12" t="n">
        <x:v>46190</x:v>
      </x:c>
      <x:c r="B35" t="str">
        <x:v>Nonbrand Search</x:v>
      </x:c>
      <x:c r="C35" t="str">
        <x:v>Enabled</x:v>
      </x:c>
      <x:c r="D35" t="str">
        <x:v>Search</x:v>
      </x:c>
      <x:c r="E35" s="14" t="n">
        <x:v>75</x:v>
      </x:c>
      <x:c r="F35" t="str">
        <x:v>USD</x:v>
      </x:c>
      <x:c r="G35" s="16" t="n">
        <x:v>614</x:v>
      </x:c>
      <x:c r="H35" s="16" t="n">
        <x:v>32</x:v>
      </x:c>
      <x:c r="I35" s="14" t="n">
        <x:v>114.75</x:v>
      </x:c>
      <x:c r="J35" s="14" t="n">
        <x:v>31</x:v>
      </x:c>
      <x:c r="K35" s="14" t="n">
        <x:v>31</x:v>
      </x:c>
      <x:c r="L35" t="str">
        <x:v>Page View (Website)</x:v>
      </x:c>
      <x:c r="M35" s="18" t="n">
        <x:f>IFERROR(H35/G35,0)</x:f>
        <x:v>0.05211726384364821</x:v>
      </x:c>
      <x:c r="N35" s="18" t="n">
        <x:f>IFERROR(J35/H35,0)</x:f>
        <x:v>0.96875</x:v>
      </x:c>
      <x:c r="O35" s="14" t="n">
        <x:f>IFERROR(I35/H35,0)</x:f>
        <x:v>3.5859375</x:v>
      </x:c>
      <x:c r="P35" s="14" t="n">
        <x:f>IFERROR(I35/J35,0)</x:f>
        <x:v>3.7016129032258065</x:v>
      </x:c>
      <x:c r="Q35" s="20" t="n">
        <x:f>IFERROR(K35/I35,0)</x:f>
        <x:v>0.2701525054466231</x:v>
      </x:c>
    </x:row>
    <x:row r="36">
      <x:c r="A36" s="12" t="n">
        <x:v>46191</x:v>
      </x:c>
      <x:c r="B36" t="str">
        <x:v>Brand Search</x:v>
      </x:c>
      <x:c r="C36" t="str">
        <x:v>Enabled</x:v>
      </x:c>
      <x:c r="D36" t="str">
        <x:v>Search</x:v>
      </x:c>
      <x:c r="E36" s="14" t="n">
        <x:v>35</x:v>
      </x:c>
      <x:c r="F36" t="str">
        <x:v>USD</x:v>
      </x:c>
      <x:c r="G36" s="16" t="n">
        <x:v>78</x:v>
      </x:c>
      <x:c r="H36" s="16" t="n">
        <x:v>19</x:v>
      </x:c>
      <x:c r="I36" s="14" t="n">
        <x:v>33.27</x:v>
      </x:c>
      <x:c r="J36" s="14" t="n">
        <x:v>18</x:v>
      </x:c>
      <x:c r="K36" s="14" t="n">
        <x:v>18</x:v>
      </x:c>
      <x:c r="L36" t="str">
        <x:v>Page View (Website)</x:v>
      </x:c>
      <x:c r="M36" s="18" t="n">
        <x:f>IFERROR(H36/G36,0)</x:f>
        <x:v>0.24358974358974358</x:v>
      </x:c>
      <x:c r="N36" s="18" t="n">
        <x:f>IFERROR(J36/H36,0)</x:f>
        <x:v>0.9473684210526315</x:v>
      </x:c>
      <x:c r="O36" s="14" t="n">
        <x:f>IFERROR(I36/H36,0)</x:f>
        <x:v>1.7510526315789476</x:v>
      </x:c>
      <x:c r="P36" s="14" t="n">
        <x:f>IFERROR(I36/J36,0)</x:f>
        <x:v>1.8483333333333336</x:v>
      </x:c>
      <x:c r="Q36" s="20" t="n">
        <x:f>IFERROR(K36/I36,0)</x:f>
        <x:v>0.5410279531109107</x:v>
      </x:c>
    </x:row>
    <x:row r="37">
      <x:c r="A37" s="12" t="n">
        <x:v>46191</x:v>
      </x:c>
      <x:c r="B37" t="str">
        <x:v>Nonbrand Search</x:v>
      </x:c>
      <x:c r="C37" t="str">
        <x:v>Enabled</x:v>
      </x:c>
      <x:c r="D37" t="str">
        <x:v>Search</x:v>
      </x:c>
      <x:c r="E37" s="14" t="n">
        <x:v>75</x:v>
      </x:c>
      <x:c r="F37" t="str">
        <x:v>USD</x:v>
      </x:c>
      <x:c r="G37" s="16" t="n">
        <x:v>615</x:v>
      </x:c>
      <x:c r="H37" s="16" t="n">
        <x:v>34</x:v>
      </x:c>
      <x:c r="I37" s="14" t="n">
        <x:v>124.31</x:v>
      </x:c>
      <x:c r="J37" s="14" t="n">
        <x:v>33</x:v>
      </x:c>
      <x:c r="K37" s="14" t="n">
        <x:v>33</x:v>
      </x:c>
      <x:c r="L37" t="str">
        <x:v>Page View (Website)</x:v>
      </x:c>
      <x:c r="M37" s="18" t="n">
        <x:f>IFERROR(H37/G37,0)</x:f>
        <x:v>0.055284552845528454</x:v>
      </x:c>
      <x:c r="N37" s="18" t="n">
        <x:f>IFERROR(J37/H37,0)</x:f>
        <x:v>0.9705882352941176</x:v>
      </x:c>
      <x:c r="O37" s="14" t="n">
        <x:f>IFERROR(I37/H37,0)</x:f>
        <x:v>3.6561764705882354</x:v>
      </x:c>
      <x:c r="P37" s="14" t="n">
        <x:f>IFERROR(I37/J37,0)</x:f>
        <x:v>3.766969696969697</x:v>
      </x:c>
      <x:c r="Q37" s="20" t="n">
        <x:f>IFERROR(K37/I37,0)</x:f>
        <x:v>0.2654653688359746</x:v>
      </x:c>
    </x:row>
    <x:row r="38">
      <x:c r="A38" s="12" t="n">
        <x:v>46192</x:v>
      </x:c>
      <x:c r="B38" t="str">
        <x:v>Brand Search</x:v>
      </x:c>
      <x:c r="C38" t="str">
        <x:v>Enabled</x:v>
      </x:c>
      <x:c r="D38" t="str">
        <x:v>Search</x:v>
      </x:c>
      <x:c r="E38" s="14" t="n">
        <x:v>35</x:v>
      </x:c>
      <x:c r="F38" t="str">
        <x:v>USD</x:v>
      </x:c>
      <x:c r="G38" s="16" t="n">
        <x:v>75</x:v>
      </x:c>
      <x:c r="H38" s="16" t="n">
        <x:v>17</x:v>
      </x:c>
      <x:c r="I38" s="14" t="n">
        <x:v>26.76</x:v>
      </x:c>
      <x:c r="J38" s="14" t="n">
        <x:v>16</x:v>
      </x:c>
      <x:c r="K38" s="14" t="n">
        <x:v>16</x:v>
      </x:c>
      <x:c r="L38" t="str">
        <x:v>Page View (Website)</x:v>
      </x:c>
      <x:c r="M38" s="18" t="n">
        <x:f>IFERROR(H38/G38,0)</x:f>
        <x:v>0.22666666666666666</x:v>
      </x:c>
      <x:c r="N38" s="18" t="n">
        <x:f>IFERROR(J38/H38,0)</x:f>
        <x:v>0.9411764705882353</x:v>
      </x:c>
      <x:c r="O38" s="14" t="n">
        <x:f>IFERROR(I38/H38,0)</x:f>
        <x:v>1.5741176470588236</x:v>
      </x:c>
      <x:c r="P38" s="14" t="n">
        <x:f>IFERROR(I38/J38,0)</x:f>
        <x:v>1.6725</x:v>
      </x:c>
      <x:c r="Q38" s="20" t="n">
        <x:f>IFERROR(K38/I38,0)</x:f>
        <x:v>0.5979073243647234</x:v>
      </x:c>
    </x:row>
    <x:row r="39">
      <x:c r="A39" s="12" t="n">
        <x:v>46192</x:v>
      </x:c>
      <x:c r="B39" t="str">
        <x:v>Nonbrand Search</x:v>
      </x:c>
      <x:c r="C39" t="str">
        <x:v>Enabled</x:v>
      </x:c>
      <x:c r="D39" t="str">
        <x:v>Search</x:v>
      </x:c>
      <x:c r="E39" s="14" t="n">
        <x:v>75</x:v>
      </x:c>
      <x:c r="F39" t="str">
        <x:v>USD</x:v>
      </x:c>
      <x:c r="G39" s="16" t="n">
        <x:v>659</x:v>
      </x:c>
      <x:c r="H39" s="16" t="n">
        <x:v>41</x:v>
      </x:c>
      <x:c r="I39" s="14" t="n">
        <x:v>147.79</x:v>
      </x:c>
      <x:c r="J39" s="14" t="n">
        <x:v>41</x:v>
      </x:c>
      <x:c r="K39" s="14" t="n">
        <x:v>41</x:v>
      </x:c>
      <x:c r="L39" t="str">
        <x:v>Page View (Website)</x:v>
      </x:c>
      <x:c r="M39" s="18" t="n">
        <x:f>IFERROR(H39/G39,0)</x:f>
        <x:v>0.0622154779969651</x:v>
      </x:c>
      <x:c r="N39" s="18" t="n">
        <x:f>IFERROR(J39/H39,0)</x:f>
        <x:v>1</x:v>
      </x:c>
      <x:c r="O39" s="14" t="n">
        <x:f>IFERROR(I39/H39,0)</x:f>
        <x:v>3.6046341463414633</x:v>
      </x:c>
      <x:c r="P39" s="14" t="n">
        <x:f>IFERROR(I39/J39,0)</x:f>
        <x:v>3.6046341463414633</x:v>
      </x:c>
      <x:c r="Q39" s="20" t="n">
        <x:f>IFERROR(K39/I39,0)</x:f>
        <x:v>0.2774206644563232</x:v>
      </x:c>
    </x:row>
    <x:row r="40">
      <x:c r="A40" s="12" t="n">
        <x:v>46193</x:v>
      </x:c>
      <x:c r="B40" t="str">
        <x:v>Brand Search</x:v>
      </x:c>
      <x:c r="C40" t="str">
        <x:v>Enabled</x:v>
      </x:c>
      <x:c r="D40" t="str">
        <x:v>Search</x:v>
      </x:c>
      <x:c r="E40" s="14" t="n">
        <x:v>35</x:v>
      </x:c>
      <x:c r="F40" t="str">
        <x:v>USD</x:v>
      </x:c>
      <x:c r="G40" s="16" t="n">
        <x:v>56</x:v>
      </x:c>
      <x:c r="H40" s="16" t="n">
        <x:v>13</x:v>
      </x:c>
      <x:c r="I40" s="14" t="n">
        <x:v>21.16</x:v>
      </x:c>
      <x:c r="J40" s="14" t="n">
        <x:v>13</x:v>
      </x:c>
      <x:c r="K40" s="14" t="n">
        <x:v>13</x:v>
      </x:c>
      <x:c r="L40" t="str">
        <x:v>Page View (Website)</x:v>
      </x:c>
      <x:c r="M40" s="18" t="n">
        <x:f>IFERROR(H40/G40,0)</x:f>
        <x:v>0.23214285714285715</x:v>
      </x:c>
      <x:c r="N40" s="18" t="n">
        <x:f>IFERROR(J40/H40,0)</x:f>
        <x:v>1</x:v>
      </x:c>
      <x:c r="O40" s="14" t="n">
        <x:f>IFERROR(I40/H40,0)</x:f>
        <x:v>1.6276923076923078</x:v>
      </x:c>
      <x:c r="P40" s="14" t="n">
        <x:f>IFERROR(I40/J40,0)</x:f>
        <x:v>1.6276923076923078</x:v>
      </x:c>
      <x:c r="Q40" s="20" t="n">
        <x:f>IFERROR(K40/I40,0)</x:f>
        <x:v>0.6143667296786389</x:v>
      </x:c>
    </x:row>
    <x:row r="41">
      <x:c r="A41" s="12" t="n">
        <x:v>46193</x:v>
      </x:c>
      <x:c r="B41" t="str">
        <x:v>Nonbrand Search</x:v>
      </x:c>
      <x:c r="C41" t="str">
        <x:v>Enabled</x:v>
      </x:c>
      <x:c r="D41" t="str">
        <x:v>Search</x:v>
      </x:c>
      <x:c r="E41" s="14" t="n">
        <x:v>75</x:v>
      </x:c>
      <x:c r="F41" t="str">
        <x:v>USD</x:v>
      </x:c>
      <x:c r="G41" s="16" t="n">
        <x:v>508</x:v>
      </x:c>
      <x:c r="H41" s="16" t="n">
        <x:v>26</x:v>
      </x:c>
      <x:c r="I41" s="14" t="n">
        <x:v>93.47</x:v>
      </x:c>
      <x:c r="J41" s="14" t="n">
        <x:v>26</x:v>
      </x:c>
      <x:c r="K41" s="14" t="n">
        <x:v>26</x:v>
      </x:c>
      <x:c r="L41" t="str">
        <x:v>Page View (Website)</x:v>
      </x:c>
      <x:c r="M41" s="18" t="n">
        <x:f>IFERROR(H41/G41,0)</x:f>
        <x:v>0.051181102362204724</x:v>
      </x:c>
      <x:c r="N41" s="18" t="n">
        <x:f>IFERROR(J41/H41,0)</x:f>
        <x:v>1</x:v>
      </x:c>
      <x:c r="O41" s="14" t="n">
        <x:f>IFERROR(I41/H41,0)</x:f>
        <x:v>3.5949999999999998</x:v>
      </x:c>
      <x:c r="P41" s="14" t="n">
        <x:f>IFERROR(I41/J41,0)</x:f>
        <x:v>3.5949999999999998</x:v>
      </x:c>
      <x:c r="Q41" s="20" t="n">
        <x:f>IFERROR(K41/I41,0)</x:f>
        <x:v>0.27816411682892905</x:v>
      </x:c>
    </x:row>
    <x:row r="42">
      <x:c r="A42" s="12" t="n">
        <x:v>46194</x:v>
      </x:c>
      <x:c r="B42" t="str">
        <x:v>Brand Search</x:v>
      </x:c>
      <x:c r="C42" t="str">
        <x:v>Enabled</x:v>
      </x:c>
      <x:c r="D42" t="str">
        <x:v>Search</x:v>
      </x:c>
      <x:c r="E42" s="14" t="n">
        <x:v>35</x:v>
      </x:c>
      <x:c r="F42" t="str">
        <x:v>USD</x:v>
      </x:c>
      <x:c r="G42" s="16" t="n">
        <x:v>54</x:v>
      </x:c>
      <x:c r="H42" s="16" t="n">
        <x:v>14</x:v>
      </x:c>
      <x:c r="I42" s="14" t="n">
        <x:v>25.45</x:v>
      </x:c>
      <x:c r="J42" s="14" t="n">
        <x:v>13</x:v>
      </x:c>
      <x:c r="K42" s="14" t="n">
        <x:v>13</x:v>
      </x:c>
      <x:c r="L42" t="str">
        <x:v>Page View (Website)</x:v>
      </x:c>
      <x:c r="M42" s="18" t="n">
        <x:f>IFERROR(H42/G42,0)</x:f>
        <x:v>0.25925925925925924</x:v>
      </x:c>
      <x:c r="N42" s="18" t="n">
        <x:f>IFERROR(J42/H42,0)</x:f>
        <x:v>0.9285714285714286</x:v>
      </x:c>
      <x:c r="O42" s="14" t="n">
        <x:f>IFERROR(I42/H42,0)</x:f>
        <x:v>1.8178571428571428</x:v>
      </x:c>
      <x:c r="P42" s="14" t="n">
        <x:f>IFERROR(I42/J42,0)</x:f>
        <x:v>1.9576923076923076</x:v>
      </x:c>
      <x:c r="Q42" s="20" t="n">
        <x:f>IFERROR(K42/I42,0)</x:f>
        <x:v>0.5108055009823183</x:v>
      </x:c>
    </x:row>
    <x:row r="43">
      <x:c r="A43" s="12" t="n">
        <x:v>46194</x:v>
      </x:c>
      <x:c r="B43" t="str">
        <x:v>Nonbrand Search</x:v>
      </x:c>
      <x:c r="C43" t="str">
        <x:v>Enabled</x:v>
      </x:c>
      <x:c r="D43" t="str">
        <x:v>Search</x:v>
      </x:c>
      <x:c r="E43" s="14" t="n">
        <x:v>75</x:v>
      </x:c>
      <x:c r="F43" t="str">
        <x:v>USD</x:v>
      </x:c>
      <x:c r="G43" s="16" t="n">
        <x:v>477</x:v>
      </x:c>
      <x:c r="H43" s="16" t="n">
        <x:v>29</x:v>
      </x:c>
      <x:c r="I43" s="14" t="n">
        <x:v>111.54</x:v>
      </x:c>
      <x:c r="J43" s="14" t="n">
        <x:v>28</x:v>
      </x:c>
      <x:c r="K43" s="14" t="n">
        <x:v>28</x:v>
      </x:c>
      <x:c r="L43" t="str">
        <x:v>Page View (Website)</x:v>
      </x:c>
      <x:c r="M43" s="18" t="n">
        <x:f>IFERROR(H43/G43,0)</x:f>
        <x:v>0.06079664570230608</x:v>
      </x:c>
      <x:c r="N43" s="18" t="n">
        <x:f>IFERROR(J43/H43,0)</x:f>
        <x:v>0.9655172413793104</x:v>
      </x:c>
      <x:c r="O43" s="14" t="n">
        <x:f>IFERROR(I43/H43,0)</x:f>
        <x:v>3.8462068965517244</x:v>
      </x:c>
      <x:c r="P43" s="14" t="n">
        <x:f>IFERROR(I43/J43,0)</x:f>
        <x:v>3.983571428571429</x:v>
      </x:c>
      <x:c r="Q43" s="20" t="n">
        <x:f>IFERROR(K43/I43,0)</x:f>
        <x:v>0.2510310202617895</x:v>
      </x:c>
    </x:row>
    <x:row r="44">
      <x:c r="A44" s="12" t="n">
        <x:v>46195</x:v>
      </x:c>
      <x:c r="B44" t="str">
        <x:v>Brand Search</x:v>
      </x:c>
      <x:c r="C44" t="str">
        <x:v>Enabled</x:v>
      </x:c>
      <x:c r="D44" t="str">
        <x:v>Search</x:v>
      </x:c>
      <x:c r="E44" s="14" t="n">
        <x:v>35</x:v>
      </x:c>
      <x:c r="F44" t="str">
        <x:v>USD</x:v>
      </x:c>
      <x:c r="G44" s="16" t="n">
        <x:v>81</x:v>
      </x:c>
      <x:c r="H44" s="16" t="n">
        <x:v>19</x:v>
      </x:c>
      <x:c r="I44" s="14" t="n">
        <x:v>33.87</x:v>
      </x:c>
      <x:c r="J44" s="14" t="n">
        <x:v>19</x:v>
      </x:c>
      <x:c r="K44" s="14" t="n">
        <x:v>19</x:v>
      </x:c>
      <x:c r="L44" t="str">
        <x:v>Page View (Website)</x:v>
      </x:c>
      <x:c r="M44" s="18" t="n">
        <x:f>IFERROR(H44/G44,0)</x:f>
        <x:v>0.2345679012345679</x:v>
      </x:c>
      <x:c r="N44" s="18" t="n">
        <x:f>IFERROR(J44/H44,0)</x:f>
        <x:v>1</x:v>
      </x:c>
      <x:c r="O44" s="14" t="n">
        <x:f>IFERROR(I44/H44,0)</x:f>
        <x:v>1.7826315789473683</x:v>
      </x:c>
      <x:c r="P44" s="14" t="n">
        <x:f>IFERROR(I44/J44,0)</x:f>
        <x:v>1.7826315789473683</x:v>
      </x:c>
      <x:c r="Q44" s="20" t="n">
        <x:f>IFERROR(K44/I44,0)</x:f>
        <x:v>0.5609684086211988</x:v>
      </x:c>
    </x:row>
    <x:row r="45">
      <x:c r="A45" s="12" t="n">
        <x:v>46195</x:v>
      </x:c>
      <x:c r="B45" t="str">
        <x:v>Nonbrand Search</x:v>
      </x:c>
      <x:c r="C45" t="str">
        <x:v>Enabled</x:v>
      </x:c>
      <x:c r="D45" t="str">
        <x:v>Search</x:v>
      </x:c>
      <x:c r="E45" s="14" t="n">
        <x:v>75</x:v>
      </x:c>
      <x:c r="F45" t="str">
        <x:v>USD</x:v>
      </x:c>
      <x:c r="G45" s="16" t="n">
        <x:v>665</x:v>
      </x:c>
      <x:c r="H45" s="16" t="n">
        <x:v>35</x:v>
      </x:c>
      <x:c r="I45" s="14" t="n">
        <x:v>138.3</x:v>
      </x:c>
      <x:c r="J45" s="14" t="n">
        <x:v>34</x:v>
      </x:c>
      <x:c r="K45" s="14" t="n">
        <x:v>34</x:v>
      </x:c>
      <x:c r="L45" t="str">
        <x:v>Page View (Website)</x:v>
      </x:c>
      <x:c r="M45" s="18" t="n">
        <x:f>IFERROR(H45/G45,0)</x:f>
        <x:v>0.05263157894736842</x:v>
      </x:c>
      <x:c r="N45" s="18" t="n">
        <x:f>IFERROR(J45/H45,0)</x:f>
        <x:v>0.9714285714285714</x:v>
      </x:c>
      <x:c r="O45" s="14" t="n">
        <x:f>IFERROR(I45/H45,0)</x:f>
        <x:v>3.951428571428572</x:v>
      </x:c>
      <x:c r="P45" s="14" t="n">
        <x:f>IFERROR(I45/J45,0)</x:f>
        <x:v>4.06764705882353</x:v>
      </x:c>
      <x:c r="Q45" s="20" t="n">
        <x:f>IFERROR(K45/I45,0)</x:f>
        <x:v>0.24584237165582065</x:v>
      </x:c>
    </x:row>
    <x:row r="46">
      <x:c r="A46" s="12" t="n">
        <x:v>46196</x:v>
      </x:c>
      <x:c r="B46" t="str">
        <x:v>Brand Search</x:v>
      </x:c>
      <x:c r="C46" t="str">
        <x:v>Enabled</x:v>
      </x:c>
      <x:c r="D46" t="str">
        <x:v>Search</x:v>
      </x:c>
      <x:c r="E46" s="14" t="n">
        <x:v>35</x:v>
      </x:c>
      <x:c r="F46" t="str">
        <x:v>USD</x:v>
      </x:c>
      <x:c r="G46" s="16" t="n">
        <x:v>69</x:v>
      </x:c>
      <x:c r="H46" s="16" t="n">
        <x:v>16</x:v>
      </x:c>
      <x:c r="I46" s="14" t="n">
        <x:v>24.53</x:v>
      </x:c>
      <x:c r="J46" s="14" t="n">
        <x:v>16</x:v>
      </x:c>
      <x:c r="K46" s="14" t="n">
        <x:v>16</x:v>
      </x:c>
      <x:c r="L46" t="str">
        <x:v>Page View (Website)</x:v>
      </x:c>
      <x:c r="M46" s="18" t="n">
        <x:f>IFERROR(H46/G46,0)</x:f>
        <x:v>0.2318840579710145</x:v>
      </x:c>
      <x:c r="N46" s="18" t="n">
        <x:f>IFERROR(J46/H46,0)</x:f>
        <x:v>1</x:v>
      </x:c>
      <x:c r="O46" s="14" t="n">
        <x:f>IFERROR(I46/H46,0)</x:f>
        <x:v>1.533125</x:v>
      </x:c>
      <x:c r="P46" s="14" t="n">
        <x:f>IFERROR(I46/J46,0)</x:f>
        <x:v>1.533125</x:v>
      </x:c>
      <x:c r="Q46" s="20" t="n">
        <x:f>IFERROR(K46/I46,0)</x:f>
        <x:v>0.6522625356706074</x:v>
      </x:c>
    </x:row>
    <x:row r="47">
      <x:c r="A47" s="12" t="n">
        <x:v>46196</x:v>
      </x:c>
      <x:c r="B47" t="str">
        <x:v>Nonbrand Search</x:v>
      </x:c>
      <x:c r="C47" t="str">
        <x:v>Enabled</x:v>
      </x:c>
      <x:c r="D47" t="str">
        <x:v>Search</x:v>
      </x:c>
      <x:c r="E47" s="14" t="n">
        <x:v>75</x:v>
      </x:c>
      <x:c r="F47" t="str">
        <x:v>USD</x:v>
      </x:c>
      <x:c r="G47" s="16" t="n">
        <x:v>679</x:v>
      </x:c>
      <x:c r="H47" s="16" t="n">
        <x:v>36</x:v>
      </x:c>
      <x:c r="I47" s="14" t="n">
        <x:v>135.93</x:v>
      </x:c>
      <x:c r="J47" s="14" t="n">
        <x:v>35</x:v>
      </x:c>
      <x:c r="K47" s="14" t="n">
        <x:v>35</x:v>
      </x:c>
      <x:c r="L47" t="str">
        <x:v>Page View (Website)</x:v>
      </x:c>
      <x:c r="M47" s="18" t="n">
        <x:f>IFERROR(H47/G47,0)</x:f>
        <x:v>0.053019145802650956</x:v>
      </x:c>
      <x:c r="N47" s="18" t="n">
        <x:f>IFERROR(J47/H47,0)</x:f>
        <x:v>0.9722222222222222</x:v>
      </x:c>
      <x:c r="O47" s="14" t="n">
        <x:f>IFERROR(I47/H47,0)</x:f>
        <x:v>3.7758333333333334</x:v>
      </x:c>
      <x:c r="P47" s="14" t="n">
        <x:f>IFERROR(I47/J47,0)</x:f>
        <x:v>3.883714285714286</x:v>
      </x:c>
      <x:c r="Q47" s="20" t="n">
        <x:f>IFERROR(K47/I47,0)</x:f>
        <x:v>0.2574854704627382</x:v>
      </x:c>
    </x:row>
    <x:row r="48">
      <x:c r="A48" s="12" t="n">
        <x:v>46197</x:v>
      </x:c>
      <x:c r="B48" t="str">
        <x:v>Brand Search</x:v>
      </x:c>
      <x:c r="C48" t="str">
        <x:v>Enabled</x:v>
      </x:c>
      <x:c r="D48" t="str">
        <x:v>Search</x:v>
      </x:c>
      <x:c r="E48" s="14" t="n">
        <x:v>35</x:v>
      </x:c>
      <x:c r="F48" t="str">
        <x:v>USD</x:v>
      </x:c>
      <x:c r="G48" s="16" t="n">
        <x:v>83</x:v>
      </x:c>
      <x:c r="H48" s="16" t="n">
        <x:v>20</x:v>
      </x:c>
      <x:c r="I48" s="14" t="n">
        <x:v>34.04</x:v>
      </x:c>
      <x:c r="J48" s="14" t="n">
        <x:v>19</x:v>
      </x:c>
      <x:c r="K48" s="14" t="n">
        <x:v>19</x:v>
      </x:c>
      <x:c r="L48" t="str">
        <x:v>Page View (Website)</x:v>
      </x:c>
      <x:c r="M48" s="18" t="n">
        <x:f>IFERROR(H48/G48,0)</x:f>
        <x:v>0.24096385542168675</x:v>
      </x:c>
      <x:c r="N48" s="18" t="n">
        <x:f>IFERROR(J48/H48,0)</x:f>
        <x:v>0.95</x:v>
      </x:c>
      <x:c r="O48" s="14" t="n">
        <x:f>IFERROR(I48/H48,0)</x:f>
        <x:v>1.702</x:v>
      </x:c>
      <x:c r="P48" s="14" t="n">
        <x:f>IFERROR(I48/J48,0)</x:f>
        <x:v>1.791578947368421</x:v>
      </x:c>
      <x:c r="Q48" s="20" t="n">
        <x:f>IFERROR(K48/I48,0)</x:f>
        <x:v>0.5581668625146886</x:v>
      </x:c>
    </x:row>
    <x:row r="49">
      <x:c r="A49" s="12" t="n">
        <x:v>46197</x:v>
      </x:c>
      <x:c r="B49" t="str">
        <x:v>Nonbrand Search</x:v>
      </x:c>
      <x:c r="C49" t="str">
        <x:v>Enabled</x:v>
      </x:c>
      <x:c r="D49" t="str">
        <x:v>Search</x:v>
      </x:c>
      <x:c r="E49" s="14" t="n">
        <x:v>75</x:v>
      </x:c>
      <x:c r="F49" t="str">
        <x:v>USD</x:v>
      </x:c>
      <x:c r="G49" s="16" t="n">
        <x:v>610</x:v>
      </x:c>
      <x:c r="H49" s="16" t="n">
        <x:v>36</x:v>
      </x:c>
      <x:c r="I49" s="14" t="n">
        <x:v>131.19</x:v>
      </x:c>
      <x:c r="J49" s="14" t="n">
        <x:v>36</x:v>
      </x:c>
      <x:c r="K49" s="14" t="n">
        <x:v>36</x:v>
      </x:c>
      <x:c r="L49" t="str">
        <x:v>Page View (Website)</x:v>
      </x:c>
      <x:c r="M49" s="18" t="n">
        <x:f>IFERROR(H49/G49,0)</x:f>
        <x:v>0.05901639344262295</x:v>
      </x:c>
      <x:c r="N49" s="18" t="n">
        <x:f>IFERROR(J49/H49,0)</x:f>
        <x:v>1</x:v>
      </x:c>
      <x:c r="O49" s="14" t="n">
        <x:f>IFERROR(I49/H49,0)</x:f>
        <x:v>3.6441666666666666</x:v>
      </x:c>
      <x:c r="P49" s="14" t="n">
        <x:f>IFERROR(I49/J49,0)</x:f>
        <x:v>3.6441666666666666</x:v>
      </x:c>
      <x:c r="Q49" s="20" t="n">
        <x:f>IFERROR(K49/I49,0)</x:f>
        <x:v>0.27441115938714844</x:v>
      </x:c>
    </x:row>
    <x:row r="50">
      <x:c r="A50" s="12" t="n">
        <x:v>46198</x:v>
      </x:c>
      <x:c r="B50" t="str">
        <x:v>Brand Search</x:v>
      </x:c>
      <x:c r="C50" t="str">
        <x:v>Enabled</x:v>
      </x:c>
      <x:c r="D50" t="str">
        <x:v>Search</x:v>
      </x:c>
      <x:c r="E50" s="14" t="n">
        <x:v>35</x:v>
      </x:c>
      <x:c r="F50" t="str">
        <x:v>USD</x:v>
      </x:c>
      <x:c r="G50" s="16" t="n">
        <x:v>79</x:v>
      </x:c>
      <x:c r="H50" s="16" t="n">
        <x:v>19</x:v>
      </x:c>
      <x:c r="I50" s="14" t="n">
        <x:v>33.36</x:v>
      </x:c>
      <x:c r="J50" s="14" t="n">
        <x:v>18</x:v>
      </x:c>
      <x:c r="K50" s="14" t="n">
        <x:v>18</x:v>
      </x:c>
      <x:c r="L50" t="str">
        <x:v>Page View (Website)</x:v>
      </x:c>
      <x:c r="M50" s="18" t="n">
        <x:f>IFERROR(H50/G50,0)</x:f>
        <x:v>0.24050632911392406</x:v>
      </x:c>
      <x:c r="N50" s="18" t="n">
        <x:f>IFERROR(J50/H50,0)</x:f>
        <x:v>0.9473684210526315</x:v>
      </x:c>
      <x:c r="O50" s="14" t="n">
        <x:f>IFERROR(I50/H50,0)</x:f>
        <x:v>1.7557894736842106</x:v>
      </x:c>
      <x:c r="P50" s="14" t="n">
        <x:f>IFERROR(I50/J50,0)</x:f>
        <x:v>1.8533333333333333</x:v>
      </x:c>
      <x:c r="Q50" s="20" t="n">
        <x:f>IFERROR(K50/I50,0)</x:f>
        <x:v>0.539568345323741</x:v>
      </x:c>
    </x:row>
    <x:row r="51">
      <x:c r="A51" s="12" t="n">
        <x:v>46198</x:v>
      </x:c>
      <x:c r="B51" t="str">
        <x:v>Nonbrand Search</x:v>
      </x:c>
      <x:c r="C51" t="str">
        <x:v>Enabled</x:v>
      </x:c>
      <x:c r="D51" t="str">
        <x:v>Search</x:v>
      </x:c>
      <x:c r="E51" s="14" t="n">
        <x:v>75</x:v>
      </x:c>
      <x:c r="F51" t="str">
        <x:v>USD</x:v>
      </x:c>
      <x:c r="G51" s="16" t="n">
        <x:v>661</x:v>
      </x:c>
      <x:c r="H51" s="16" t="n">
        <x:v>31</x:v>
      </x:c>
      <x:c r="I51" s="14" t="n">
        <x:v>113.14</x:v>
      </x:c>
      <x:c r="J51" s="14" t="n">
        <x:v>30</x:v>
      </x:c>
      <x:c r="K51" s="14" t="n">
        <x:v>30</x:v>
      </x:c>
      <x:c r="L51" t="str">
        <x:v>Page View (Website)</x:v>
      </x:c>
      <x:c r="M51" s="18" t="n">
        <x:f>IFERROR(H51/G51,0)</x:f>
        <x:v>0.046898638426626324</x:v>
      </x:c>
      <x:c r="N51" s="18" t="n">
        <x:f>IFERROR(J51/H51,0)</x:f>
        <x:v>0.967741935483871</x:v>
      </x:c>
      <x:c r="O51" s="14" t="n">
        <x:f>IFERROR(I51/H51,0)</x:f>
        <x:v>3.649677419354839</x:v>
      </x:c>
      <x:c r="P51" s="14" t="n">
        <x:f>IFERROR(I51/J51,0)</x:f>
        <x:v>3.771333333333333</x:v>
      </x:c>
      <x:c r="Q51" s="20" t="n">
        <x:f>IFERROR(K51/I51,0)</x:f>
        <x:v>0.265158211065936</x:v>
      </x:c>
    </x:row>
    <x:row r="52">
      <x:c r="A52" s="12" t="n">
        <x:v>46199</x:v>
      </x:c>
      <x:c r="B52" t="str">
        <x:v>Brand Search</x:v>
      </x:c>
      <x:c r="C52" t="str">
        <x:v>Enabled</x:v>
      </x:c>
      <x:c r="D52" t="str">
        <x:v>Search</x:v>
      </x:c>
      <x:c r="E52" s="14" t="n">
        <x:v>35</x:v>
      </x:c>
      <x:c r="F52" t="str">
        <x:v>USD</x:v>
      </x:c>
      <x:c r="G52" s="16" t="n">
        <x:v>75</x:v>
      </x:c>
      <x:c r="H52" s="16" t="n">
        <x:v>16</x:v>
      </x:c>
      <x:c r="I52" s="14" t="n">
        <x:v>28.57</x:v>
      </x:c>
      <x:c r="J52" s="14" t="n">
        <x:v>16</x:v>
      </x:c>
      <x:c r="K52" s="14" t="n">
        <x:v>16</x:v>
      </x:c>
      <x:c r="L52" t="str">
        <x:v>Page View (Website)</x:v>
      </x:c>
      <x:c r="M52" s="18" t="n">
        <x:f>IFERROR(H52/G52,0)</x:f>
        <x:v>0.21333333333333335</x:v>
      </x:c>
      <x:c r="N52" s="18" t="n">
        <x:f>IFERROR(J52/H52,0)</x:f>
        <x:v>1</x:v>
      </x:c>
      <x:c r="O52" s="14" t="n">
        <x:f>IFERROR(I52/H52,0)</x:f>
        <x:v>1.785625</x:v>
      </x:c>
      <x:c r="P52" s="14" t="n">
        <x:f>IFERROR(I52/J52,0)</x:f>
        <x:v>1.785625</x:v>
      </x:c>
      <x:c r="Q52" s="20" t="n">
        <x:f>IFERROR(K52/I52,0)</x:f>
        <x:v>0.56002800140007</x:v>
      </x:c>
    </x:row>
    <x:row r="53">
      <x:c r="A53" s="12" t="n">
        <x:v>46199</x:v>
      </x:c>
      <x:c r="B53" t="str">
        <x:v>Nonbrand Search</x:v>
      </x:c>
      <x:c r="C53" t="str">
        <x:v>Enabled</x:v>
      </x:c>
      <x:c r="D53" t="str">
        <x:v>Search</x:v>
      </x:c>
      <x:c r="E53" s="14" t="n">
        <x:v>75</x:v>
      </x:c>
      <x:c r="F53" t="str">
        <x:v>USD</x:v>
      </x:c>
      <x:c r="G53" s="16" t="n">
        <x:v>630</x:v>
      </x:c>
      <x:c r="H53" s="16" t="n">
        <x:v>33</x:v>
      </x:c>
      <x:c r="I53" s="14" t="n">
        <x:v>123.26</x:v>
      </x:c>
      <x:c r="J53" s="14" t="n">
        <x:v>33</x:v>
      </x:c>
      <x:c r="K53" s="14" t="n">
        <x:v>33</x:v>
      </x:c>
      <x:c r="L53" t="str">
        <x:v>Page View (Website)</x:v>
      </x:c>
      <x:c r="M53" s="18" t="n">
        <x:f>IFERROR(H53/G53,0)</x:f>
        <x:v>0.05238095238095238</x:v>
      </x:c>
      <x:c r="N53" s="18" t="n">
        <x:f>IFERROR(J53/H53,0)</x:f>
        <x:v>1</x:v>
      </x:c>
      <x:c r="O53" s="14" t="n">
        <x:f>IFERROR(I53/H53,0)</x:f>
        <x:v>3.7351515151515153</x:v>
      </x:c>
      <x:c r="P53" s="14" t="n">
        <x:f>IFERROR(I53/J53,0)</x:f>
        <x:v>3.7351515151515153</x:v>
      </x:c>
      <x:c r="Q53" s="20" t="n">
        <x:f>IFERROR(K53/I53,0)</x:f>
        <x:v>0.26772675644978094</x:v>
      </x:c>
    </x:row>
    <x:row r="54">
      <x:c r="A54" s="12" t="n">
        <x:v>46200</x:v>
      </x:c>
      <x:c r="B54" t="str">
        <x:v>Brand Search</x:v>
      </x:c>
      <x:c r="C54" t="str">
        <x:v>Enabled</x:v>
      </x:c>
      <x:c r="D54" t="str">
        <x:v>Search</x:v>
      </x:c>
      <x:c r="E54" s="14" t="n">
        <x:v>35</x:v>
      </x:c>
      <x:c r="F54" t="str">
        <x:v>USD</x:v>
      </x:c>
      <x:c r="G54" s="16" t="n">
        <x:v>60</x:v>
      </x:c>
      <x:c r="H54" s="16" t="n">
        <x:v>15</x:v>
      </x:c>
      <x:c r="I54" s="14" t="n">
        <x:v>27.28</x:v>
      </x:c>
      <x:c r="J54" s="14" t="n">
        <x:v>15</x:v>
      </x:c>
      <x:c r="K54" s="14" t="n">
        <x:v>15</x:v>
      </x:c>
      <x:c r="L54" t="str">
        <x:v>Page View (Website)</x:v>
      </x:c>
      <x:c r="M54" s="18" t="n">
        <x:f>IFERROR(H54/G54,0)</x:f>
        <x:v>0.25</x:v>
      </x:c>
      <x:c r="N54" s="18" t="n">
        <x:f>IFERROR(J54/H54,0)</x:f>
        <x:v>1</x:v>
      </x:c>
      <x:c r="O54" s="14" t="n">
        <x:f>IFERROR(I54/H54,0)</x:f>
        <x:v>1.8186666666666667</x:v>
      </x:c>
      <x:c r="P54" s="14" t="n">
        <x:f>IFERROR(I54/J54,0)</x:f>
        <x:v>1.8186666666666667</x:v>
      </x:c>
      <x:c r="Q54" s="20" t="n">
        <x:f>IFERROR(K54/I54,0)</x:f>
        <x:v>0.5498533724340176</x:v>
      </x:c>
    </x:row>
    <x:row r="55">
      <x:c r="A55" s="12" t="n">
        <x:v>46200</x:v>
      </x:c>
      <x:c r="B55" t="str">
        <x:v>Nonbrand Search</x:v>
      </x:c>
      <x:c r="C55" t="str">
        <x:v>Enabled</x:v>
      </x:c>
      <x:c r="D55" t="str">
        <x:v>Search</x:v>
      </x:c>
      <x:c r="E55" s="14" t="n">
        <x:v>75</x:v>
      </x:c>
      <x:c r="F55" t="str">
        <x:v>USD</x:v>
      </x:c>
      <x:c r="G55" s="16" t="n">
        <x:v>595</x:v>
      </x:c>
      <x:c r="H55" s="16" t="n">
        <x:v>36</x:v>
      </x:c>
      <x:c r="I55" s="14" t="n">
        <x:v>134.64</x:v>
      </x:c>
      <x:c r="J55" s="14" t="n">
        <x:v>35</x:v>
      </x:c>
      <x:c r="K55" s="14" t="n">
        <x:v>35</x:v>
      </x:c>
      <x:c r="L55" t="str">
        <x:v>Page View (Website)</x:v>
      </x:c>
      <x:c r="M55" s="18" t="n">
        <x:f>IFERROR(H55/G55,0)</x:f>
        <x:v>0.06050420168067227</x:v>
      </x:c>
      <x:c r="N55" s="18" t="n">
        <x:f>IFERROR(J55/H55,0)</x:f>
        <x:v>0.9722222222222222</x:v>
      </x:c>
      <x:c r="O55" s="14" t="n">
        <x:f>IFERROR(I55/H55,0)</x:f>
        <x:v>3.7399999999999998</x:v>
      </x:c>
      <x:c r="P55" s="14" t="n">
        <x:f>IFERROR(I55/J55,0)</x:f>
        <x:v>3.8468571428571425</x:v>
      </x:c>
      <x:c r="Q55" s="20" t="n">
        <x:f>IFERROR(K55/I55,0)</x:f>
        <x:v>0.2599524658348188</x:v>
      </x:c>
    </x:row>
    <x:row r="56">
      <x:c r="A56" s="12" t="n">
        <x:v>46201</x:v>
      </x:c>
      <x:c r="B56" t="str">
        <x:v>Brand Search</x:v>
      </x:c>
      <x:c r="C56" t="str">
        <x:v>Enabled</x:v>
      </x:c>
      <x:c r="D56" t="str">
        <x:v>Search</x:v>
      </x:c>
      <x:c r="E56" s="14" t="n">
        <x:v>35</x:v>
      </x:c>
      <x:c r="F56" t="str">
        <x:v>USD</x:v>
      </x:c>
      <x:c r="G56" s="16" t="n">
        <x:v>65</x:v>
      </x:c>
      <x:c r="H56" s="16" t="n">
        <x:v>16</x:v>
      </x:c>
      <x:c r="I56" s="14" t="n">
        <x:v>30.39</x:v>
      </x:c>
      <x:c r="J56" s="14" t="n">
        <x:v>15</x:v>
      </x:c>
      <x:c r="K56" s="14" t="n">
        <x:v>15</x:v>
      </x:c>
      <x:c r="L56" t="str">
        <x:v>Page View (Website)</x:v>
      </x:c>
      <x:c r="M56" s="18" t="n">
        <x:f>IFERROR(H56/G56,0)</x:f>
        <x:v>0.24615384615384617</x:v>
      </x:c>
      <x:c r="N56" s="18" t="n">
        <x:f>IFERROR(J56/H56,0)</x:f>
        <x:v>0.9375</x:v>
      </x:c>
      <x:c r="O56" s="14" t="n">
        <x:f>IFERROR(I56/H56,0)</x:f>
        <x:v>1.899375</x:v>
      </x:c>
      <x:c r="P56" s="14" t="n">
        <x:f>IFERROR(I56/J56,0)</x:f>
        <x:v>2.0260000000000002</x:v>
      </x:c>
      <x:c r="Q56" s="20" t="n">
        <x:f>IFERROR(K56/I56,0)</x:f>
        <x:v>0.4935834155972359</x:v>
      </x:c>
    </x:row>
    <x:row r="57">
      <x:c r="A57" s="12" t="n">
        <x:v>46201</x:v>
      </x:c>
      <x:c r="B57" t="str">
        <x:v>Nonbrand Search</x:v>
      </x:c>
      <x:c r="C57" t="str">
        <x:v>Enabled</x:v>
      </x:c>
      <x:c r="D57" t="str">
        <x:v>Search</x:v>
      </x:c>
      <x:c r="E57" s="14" t="n">
        <x:v>75</x:v>
      </x:c>
      <x:c r="F57" t="str">
        <x:v>USD</x:v>
      </x:c>
      <x:c r="G57" s="16" t="n">
        <x:v>567</x:v>
      </x:c>
      <x:c r="H57" s="16" t="n">
        <x:v>33</x:v>
      </x:c>
      <x:c r="I57" s="14" t="n">
        <x:v>125.25</x:v>
      </x:c>
      <x:c r="J57" s="14" t="n">
        <x:v>33</x:v>
      </x:c>
      <x:c r="K57" s="14" t="n">
        <x:v>33</x:v>
      </x:c>
      <x:c r="L57" t="str">
        <x:v>Page View (Website)</x:v>
      </x:c>
      <x:c r="M57" s="18" t="n">
        <x:f>IFERROR(H57/G57,0)</x:f>
        <x:v>0.0582010582010582</x:v>
      </x:c>
      <x:c r="N57" s="18" t="n">
        <x:f>IFERROR(J57/H57,0)</x:f>
        <x:v>1</x:v>
      </x:c>
      <x:c r="O57" s="14" t="n">
        <x:f>IFERROR(I57/H57,0)</x:f>
        <x:v>3.7954545454545454</x:v>
      </x:c>
      <x:c r="P57" s="14" t="n">
        <x:f>IFERROR(I57/J57,0)</x:f>
        <x:v>3.7954545454545454</x:v>
      </x:c>
      <x:c r="Q57" s="20" t="n">
        <x:f>IFERROR(K57/I57,0)</x:f>
        <x:v>0.2634730538922156</x:v>
      </x:c>
    </x:row>
    <x:row r="58">
      <x:c r="A58" s="12" t="n">
        <x:v>46202</x:v>
      </x:c>
      <x:c r="B58" t="str">
        <x:v>Brand Search</x:v>
      </x:c>
      <x:c r="C58" t="str">
        <x:v>Enabled</x:v>
      </x:c>
      <x:c r="D58" t="str">
        <x:v>Search</x:v>
      </x:c>
      <x:c r="E58" s="14" t="n">
        <x:v>35</x:v>
      </x:c>
      <x:c r="F58" t="str">
        <x:v>USD</x:v>
      </x:c>
      <x:c r="G58" s="16" t="n">
        <x:v>94</x:v>
      </x:c>
      <x:c r="H58" s="16" t="n">
        <x:v>21</x:v>
      </x:c>
      <x:c r="I58" s="14" t="n">
        <x:v>31.35</x:v>
      </x:c>
      <x:c r="J58" s="14" t="n">
        <x:v>20</x:v>
      </x:c>
      <x:c r="K58" s="14" t="n">
        <x:v>20</x:v>
      </x:c>
      <x:c r="L58" t="str">
        <x:v>Page View (Website)</x:v>
      </x:c>
      <x:c r="M58" s="18" t="n">
        <x:f>IFERROR(H58/G58,0)</x:f>
        <x:v>0.22340425531914893</x:v>
      </x:c>
      <x:c r="N58" s="18" t="n">
        <x:f>IFERROR(J58/H58,0)</x:f>
        <x:v>0.9523809523809523</x:v>
      </x:c>
      <x:c r="O58" s="14" t="n">
        <x:f>IFERROR(I58/H58,0)</x:f>
        <x:v>1.4928571428571429</x:v>
      </x:c>
      <x:c r="P58" s="14" t="n">
        <x:f>IFERROR(I58/J58,0)</x:f>
        <x:v>1.5675000000000001</x:v>
      </x:c>
      <x:c r="Q58" s="20" t="n">
        <x:f>IFERROR(K58/I58,0)</x:f>
        <x:v>0.6379585326953747</x:v>
      </x:c>
    </x:row>
    <x:row r="59">
      <x:c r="A59" s="12" t="n">
        <x:v>46202</x:v>
      </x:c>
      <x:c r="B59" t="str">
        <x:v>Nonbrand Search</x:v>
      </x:c>
      <x:c r="C59" t="str">
        <x:v>Enabled</x:v>
      </x:c>
      <x:c r="D59" t="str">
        <x:v>Search</x:v>
      </x:c>
      <x:c r="E59" s="14" t="n">
        <x:v>75</x:v>
      </x:c>
      <x:c r="F59" t="str">
        <x:v>USD</x:v>
      </x:c>
      <x:c r="G59" s="16" t="n">
        <x:v>754</x:v>
      </x:c>
      <x:c r="H59" s="16" t="n">
        <x:v>43</x:v>
      </x:c>
      <x:c r="I59" s="14" t="n">
        <x:v>154.91</x:v>
      </x:c>
      <x:c r="J59" s="14" t="n">
        <x:v>42</x:v>
      </x:c>
      <x:c r="K59" s="14" t="n">
        <x:v>42</x:v>
      </x:c>
      <x:c r="L59" t="str">
        <x:v>Page View (Website)</x:v>
      </x:c>
      <x:c r="M59" s="18" t="n">
        <x:f>IFERROR(H59/G59,0)</x:f>
        <x:v>0.05702917771883289</x:v>
      </x:c>
      <x:c r="N59" s="18" t="n">
        <x:f>IFERROR(J59/H59,0)</x:f>
        <x:v>0.9767441860465116</x:v>
      </x:c>
      <x:c r="O59" s="14" t="n">
        <x:f>IFERROR(I59/H59,0)</x:f>
        <x:v>3.602558139534884</x:v>
      </x:c>
      <x:c r="P59" s="14" t="n">
        <x:f>IFERROR(I59/J59,0)</x:f>
        <x:v>3.6883333333333335</x:v>
      </x:c>
      <x:c r="Q59" s="20" t="n">
        <x:f>IFERROR(K59/I59,0)</x:f>
        <x:v>0.2711251694532309</x:v>
      </x:c>
    </x:row>
    <x:row r="60">
      <x:c r="A60" s="12" t="n">
        <x:v>46203</x:v>
      </x:c>
      <x:c r="B60" t="str">
        <x:v>Brand Search</x:v>
      </x:c>
      <x:c r="C60" t="str">
        <x:v>Enabled</x:v>
      </x:c>
      <x:c r="D60" t="str">
        <x:v>Search</x:v>
      </x:c>
      <x:c r="E60" s="14" t="n">
        <x:v>35</x:v>
      </x:c>
      <x:c r="F60" t="str">
        <x:v>USD</x:v>
      </x:c>
      <x:c r="G60" s="16" t="n">
        <x:v>84</x:v>
      </x:c>
      <x:c r="H60" s="16" t="n">
        <x:v>21</x:v>
      </x:c>
      <x:c r="I60" s="14" t="n">
        <x:v>39.46</x:v>
      </x:c>
      <x:c r="J60" s="14" t="n">
        <x:v>21</x:v>
      </x:c>
      <x:c r="K60" s="14" t="n">
        <x:v>21</x:v>
      </x:c>
      <x:c r="L60" t="str">
        <x:v>Page View (Website)</x:v>
      </x:c>
      <x:c r="M60" s="18" t="n">
        <x:f>IFERROR(H60/G60,0)</x:f>
        <x:v>0.25</x:v>
      </x:c>
      <x:c r="N60" s="18" t="n">
        <x:f>IFERROR(J60/H60,0)</x:f>
        <x:v>1</x:v>
      </x:c>
      <x:c r="O60" s="14" t="n">
        <x:f>IFERROR(I60/H60,0)</x:f>
        <x:v>1.879047619047619</x:v>
      </x:c>
      <x:c r="P60" s="14" t="n">
        <x:f>IFERROR(I60/J60,0)</x:f>
        <x:v>1.879047619047619</x:v>
      </x:c>
      <x:c r="Q60" s="20" t="n">
        <x:f>IFERROR(K60/I60,0)</x:f>
        <x:v>0.5321844906234161</x:v>
      </x:c>
    </x:row>
    <x:row r="61">
      <x:c r="A61" s="12" t="n">
        <x:v>46203</x:v>
      </x:c>
      <x:c r="B61" t="str">
        <x:v>Nonbrand Search</x:v>
      </x:c>
      <x:c r="C61" t="str">
        <x:v>Enabled</x:v>
      </x:c>
      <x:c r="D61" t="str">
        <x:v>Search</x:v>
      </x:c>
      <x:c r="E61" s="14" t="n">
        <x:v>75</x:v>
      </x:c>
      <x:c r="F61" t="str">
        <x:v>USD</x:v>
      </x:c>
      <x:c r="G61" s="16" t="n">
        <x:v>690</x:v>
      </x:c>
      <x:c r="H61" s="16" t="n">
        <x:v>39</x:v>
      </x:c>
      <x:c r="I61" s="14" t="n">
        <x:v>145.59</x:v>
      </x:c>
      <x:c r="J61" s="14" t="n">
        <x:v>39</x:v>
      </x:c>
      <x:c r="K61" s="14" t="n">
        <x:v>39</x:v>
      </x:c>
      <x:c r="L61" t="str">
        <x:v>Page View (Website)</x:v>
      </x:c>
      <x:c r="M61" s="18" t="n">
        <x:f>IFERROR(H61/G61,0)</x:f>
        <x:v>0.05652173913043478</x:v>
      </x:c>
      <x:c r="N61" s="18" t="n">
        <x:f>IFERROR(J61/H61,0)</x:f>
        <x:v>1</x:v>
      </x:c>
      <x:c r="O61" s="14" t="n">
        <x:f>IFERROR(I61/H61,0)</x:f>
        <x:v>3.733076923076923</x:v>
      </x:c>
      <x:c r="P61" s="14" t="n">
        <x:f>IFERROR(I61/J61,0)</x:f>
        <x:v>3.733076923076923</x:v>
      </x:c>
      <x:c r="Q61" s="20" t="n">
        <x:f>IFERROR(K61/I61,0)</x:f>
        <x:v>0.2678755409025345</x:v>
      </x:c>
    </x:row>
  </x:sheetData>
  <x:pageMargins left="0.7" right="0.7" top="0.75" bottom="0.75" header="0.3" footer="0.3"/>
  <x:tableParts count="1">
    <x:tablePart xmlns:r="http://schemas.openxmlformats.org/officeDocument/2006/relationships" r:id="Rf2ea7edb8ff84e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6" hidden="0" customWidth="1"/>
    <x:col min="4" max="4" width="16" hidden="0" customWidth="1"/>
    <x:col min="5" max="5" width="22" hidden="0" customWidth="1"/>
    <x:col min="6" max="6" width="16" hidden="0" customWidth="1"/>
    <x:col min="7" max="7" width="12" hidden="0" customWidth="1"/>
    <x:col min="8" max="8" width="11" hidden="0" customWidth="1"/>
    <x:col min="9" max="9" width="20" hidden="0" customWidth="1"/>
    <x:col min="10" max="10" width="14" hidden="0" customWidth="1"/>
  </x:cols>
  <x:sheetData>
    <x:row r="1">
      <x:c r="A1" s="6" t="str">
        <x:v>Session Source / Medium</x:v>
      </x:c>
      <x:c r="B1" s="6" t="str">
        <x:v>Sessions</x:v>
      </x:c>
      <x:c r="C1" s="6" t="str">
        <x:v>Engaged Sessions</x:v>
      </x:c>
      <x:c r="D1" s="6" t="str">
        <x:v>Engagement Rate</x:v>
      </x:c>
      <x:c r="E1" s="6" t="str">
        <x:v>Avg Engagement Time / Session</x:v>
      </x:c>
      <x:c r="F1" s="6" t="str">
        <x:v>Events / Session</x:v>
      </x:c>
      <x:c r="G1" s="6" t="str">
        <x:v>Event Count</x:v>
      </x:c>
      <x:c r="H1" s="6" t="str">
        <x:v>Key Events</x:v>
      </x:c>
      <x:c r="I1" s="6" t="str">
        <x:v>Session Key Event Rate</x:v>
      </x:c>
      <x:c r="J1" s="6" t="str">
        <x:v>Total Revenue</x:v>
      </x:c>
    </x:row>
    <x:row r="2">
      <x:c r="A2" t="str">
        <x:v>google / cpc</x:v>
      </x:c>
      <x:c r="B2" t="n">
        <x:v>1190</x:v>
      </x:c>
      <x:c r="C2" t="n">
        <x:v>612</x:v>
      </x:c>
      <x:c r="D2" s="18" t="n">
        <x:v>0.5143</x:v>
      </x:c>
      <x:c r="E2" s="22" t="n">
        <x:v>48.2</x:v>
      </x:c>
      <x:c r="F2" s="22" t="n">
        <x:v>6.2</x:v>
      </x:c>
      <x:c r="G2" t="n">
        <x:v>7378</x:v>
      </x:c>
      <x:c r="H2" t="n">
        <x:v>0</x:v>
      </x:c>
      <x:c r="I2" s="18" t="n">
        <x:v>0</x:v>
      </x:c>
      <x:c r="J2" s="14" t="n">
        <x:v>0</x:v>
      </x:c>
    </x:row>
    <x:row r="3">
      <x:c r="A3" t="str">
        <x:v>google / organic</x:v>
      </x:c>
      <x:c r="B3" t="n">
        <x:v>640</x:v>
      </x:c>
      <x:c r="C3" t="n">
        <x:v>388</x:v>
      </x:c>
      <x:c r="D3" s="18" t="n">
        <x:v>0.6063</x:v>
      </x:c>
      <x:c r="E3" s="22" t="n">
        <x:v>63.4</x:v>
      </x:c>
      <x:c r="F3" s="22" t="n">
        <x:v>7.1</x:v>
      </x:c>
      <x:c r="G3" t="n">
        <x:v>4544</x:v>
      </x:c>
      <x:c r="H3" t="n">
        <x:v>23</x:v>
      </x:c>
      <x:c r="I3" s="18" t="n">
        <x:v>0.0359</x:v>
      </x:c>
      <x:c r="J3" s="14" t="n">
        <x:v>0</x:v>
      </x:c>
    </x:row>
    <x:row r="4">
      <x:c r="A4" t="str">
        <x:v>(direct) / (none)</x:v>
      </x:c>
      <x:c r="B4" t="n">
        <x:v>410</x:v>
      </x:c>
      <x:c r="C4" t="n">
        <x:v>175</x:v>
      </x:c>
      <x:c r="D4" s="18" t="n">
        <x:v>0.4268</x:v>
      </x:c>
      <x:c r="E4" s="22" t="n">
        <x:v>31.8</x:v>
      </x:c>
      <x:c r="F4" s="22" t="n">
        <x:v>4.8</x:v>
      </x:c>
      <x:c r="G4" t="n">
        <x:v>1968</x:v>
      </x:c>
      <x:c r="H4" t="n">
        <x:v>8</x:v>
      </x:c>
      <x:c r="I4" s="18" t="n">
        <x:v>0.0195</x:v>
      </x:c>
      <x:c r="J4" s="14" t="n">
        <x:v>0</x:v>
      </x:c>
    </x:row>
    <x:row r="5">
      <x:c r="A5" t="str">
        <x:v>bing / organic</x:v>
      </x:c>
      <x:c r="B5" t="n">
        <x:v>95</x:v>
      </x:c>
      <x:c r="C5" t="n">
        <x:v>50</x:v>
      </x:c>
      <x:c r="D5" s="18" t="n">
        <x:v>0.5263</x:v>
      </x:c>
      <x:c r="E5" s="22" t="n">
        <x:v>44.1</x:v>
      </x:c>
      <x:c r="F5" s="22" t="n">
        <x:v>5.4</x:v>
      </x:c>
      <x:c r="G5" t="n">
        <x:v>513</x:v>
      </x:c>
      <x:c r="H5" t="n">
        <x:v>2</x:v>
      </x:c>
      <x:c r="I5" s="18" t="n">
        <x:v>0.0211</x:v>
      </x:c>
      <x:c r="J5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679493765a4a0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6" hidden="0" customWidth="1"/>
    <x:col min="4" max="4" width="16" hidden="0" customWidth="1"/>
    <x:col min="5" max="5" width="22" hidden="0" customWidth="1"/>
    <x:col min="6" max="6" width="16" hidden="0" customWidth="1"/>
    <x:col min="7" max="7" width="12" hidden="0" customWidth="1"/>
    <x:col min="8" max="8" width="11" hidden="0" customWidth="1"/>
    <x:col min="9" max="9" width="20" hidden="0" customWidth="1"/>
    <x:col min="10" max="10" width="14" hidden="0" customWidth="1"/>
  </x:cols>
  <x:sheetData>
    <x:row r="1">
      <x:c r="A1" s="6" t="str">
        <x:v>Session Source / Medium</x:v>
      </x:c>
      <x:c r="B1" s="6" t="str">
        <x:v>Sessions</x:v>
      </x:c>
      <x:c r="C1" s="6" t="str">
        <x:v>Engaged Sessions</x:v>
      </x:c>
      <x:c r="D1" s="6" t="str">
        <x:v>Engagement Rate</x:v>
      </x:c>
      <x:c r="E1" s="6" t="str">
        <x:v>Avg Engagement Time / Session</x:v>
      </x:c>
      <x:c r="F1" s="6" t="str">
        <x:v>Events / Session</x:v>
      </x:c>
      <x:c r="G1" s="6" t="str">
        <x:v>Event Count</x:v>
      </x:c>
      <x:c r="H1" s="6" t="str">
        <x:v>Key Events</x:v>
      </x:c>
      <x:c r="I1" s="6" t="str">
        <x:v>Session Key Event Rate</x:v>
      </x:c>
      <x:c r="J1" s="6" t="str">
        <x:v>Total Revenue</x:v>
      </x:c>
    </x:row>
    <x:row r="2">
      <x:c r="A2" t="str">
        <x:v>google / cpc</x:v>
      </x:c>
      <x:c r="B2" t="n">
        <x:v>1085</x:v>
      </x:c>
      <x:c r="C2" t="n">
        <x:v>590</x:v>
      </x:c>
      <x:c r="D2" s="18" t="n">
        <x:v>0.5438</x:v>
      </x:c>
      <x:c r="E2" s="22" t="n">
        <x:v>52.6</x:v>
      </x:c>
      <x:c r="F2" s="22" t="n">
        <x:v>6.2</x:v>
      </x:c>
      <x:c r="G2" t="n">
        <x:v>6780</x:v>
      </x:c>
      <x:c r="H2" t="n">
        <x:v>0</x:v>
      </x:c>
      <x:c r="I2" s="18" t="n">
        <x:v>0</x:v>
      </x:c>
      <x:c r="J2" s="14" t="n">
        <x:v>0</x:v>
      </x:c>
    </x:row>
    <x:row r="3">
      <x:c r="A3" t="str">
        <x:v>google / organic</x:v>
      </x:c>
      <x:c r="B3" t="n">
        <x:v>610</x:v>
      </x:c>
      <x:c r="C3" t="n">
        <x:v>372</x:v>
      </x:c>
      <x:c r="D3" s="18" t="n">
        <x:v>0.6098</x:v>
      </x:c>
      <x:c r="E3" s="22" t="n">
        <x:v>63.4</x:v>
      </x:c>
      <x:c r="F3" s="22" t="n">
        <x:v>7.1</x:v>
      </x:c>
      <x:c r="G3" t="n">
        <x:v>4544</x:v>
      </x:c>
      <x:c r="H3" t="n">
        <x:v>20</x:v>
      </x:c>
      <x:c r="I3" s="18" t="n">
        <x:v>0.0328</x:v>
      </x:c>
      <x:c r="J3" s="14" t="n">
        <x:v>0</x:v>
      </x:c>
    </x:row>
    <x:row r="4">
      <x:c r="A4" t="str">
        <x:v>(direct) / (none)</x:v>
      </x:c>
      <x:c r="B4" t="n">
        <x:v>395</x:v>
      </x:c>
      <x:c r="C4" t="n">
        <x:v>171</x:v>
      </x:c>
      <x:c r="D4" s="18" t="n">
        <x:v>0.4268</x:v>
      </x:c>
      <x:c r="E4" s="22" t="n">
        <x:v>31.8</x:v>
      </x:c>
      <x:c r="F4" s="22" t="n">
        <x:v>4.8</x:v>
      </x:c>
      <x:c r="G4" t="n">
        <x:v>1968</x:v>
      </x:c>
      <x:c r="H4" t="n">
        <x:v>7</x:v>
      </x:c>
      <x:c r="I4" s="18" t="n">
        <x:v>0.0195</x:v>
      </x:c>
      <x:c r="J4" s="14" t="n">
        <x:v>0</x:v>
      </x:c>
    </x:row>
    <x:row r="5">
      <x:c r="A5" t="str">
        <x:v>bing / organic</x:v>
      </x:c>
      <x:c r="B5" t="n">
        <x:v>84</x:v>
      </x:c>
      <x:c r="C5" t="n">
        <x:v>42</x:v>
      </x:c>
      <x:c r="D5" s="18" t="n">
        <x:v>0.5263</x:v>
      </x:c>
      <x:c r="E5" s="22" t="n">
        <x:v>44.1</x:v>
      </x:c>
      <x:c r="F5" s="22" t="n">
        <x:v>5.4</x:v>
      </x:c>
      <x:c r="G5" t="n">
        <x:v>513</x:v>
      </x:c>
      <x:c r="H5" t="n">
        <x:v>2</x:v>
      </x:c>
      <x:c r="I5" s="18" t="n">
        <x:v>0.0211</x:v>
      </x:c>
      <x:c r="J5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318da9831149a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12" hidden="0" customWidth="1"/>
    <x:col min="4" max="4" width="11" hidden="0" customWidth="1"/>
    <x:col min="5" max="5" width="22" hidden="0" customWidth="1"/>
    <x:col min="6" max="6" width="11" hidden="0" customWidth="1"/>
    <x:col min="7" max="7" width="14" hidden="0" customWidth="1"/>
    <x:col min="8" max="8" width="20" hidden="0" customWidth="1"/>
  </x:cols>
  <x:sheetData>
    <x:row r="1">
      <x:c r="A1" s="6" t="str">
        <x:v>Landing Page</x:v>
      </x:c>
      <x:c r="B1" s="6" t="str">
        <x:v>Sessions</x:v>
      </x:c>
      <x:c r="C1" s="6" t="str">
        <x:v>Active Users</x:v>
      </x:c>
      <x:c r="D1" s="6" t="str">
        <x:v>New Users</x:v>
      </x:c>
      <x:c r="E1" s="6" t="str">
        <x:v>Avg Engagement Time / Session</x:v>
      </x:c>
      <x:c r="F1" s="6" t="str">
        <x:v>Key Events</x:v>
      </x:c>
      <x:c r="G1" s="6" t="str">
        <x:v>Total Revenue</x:v>
      </x:c>
      <x:c r="H1" s="6" t="str">
        <x:v>Session Key Event Rate</x:v>
      </x:c>
    </x:row>
    <x:row r="2">
      <x:c r="A2" t="str">
        <x:v>/hvac-repair</x:v>
      </x:c>
      <x:c r="B2" t="n">
        <x:v>610</x:v>
      </x:c>
      <x:c r="C2" t="n">
        <x:v>570</x:v>
      </x:c>
      <x:c r="D2" t="n">
        <x:v>530</x:v>
      </x:c>
      <x:c r="E2" s="22" t="n">
        <x:v>45.4</x:v>
      </x:c>
      <x:c r="F2" t="n">
        <x:v>0</x:v>
      </x:c>
      <x:c r="G2" s="14" t="n">
        <x:v>0</x:v>
      </x:c>
      <x:c r="H2" s="18" t="n">
        <x:v>0</x:v>
      </x:c>
    </x:row>
    <x:row r="3">
      <x:c r="A3" t="str">
        <x:v>/plumbing</x:v>
      </x:c>
      <x:c r="B3" t="n">
        <x:v>310</x:v>
      </x:c>
      <x:c r="C3" t="n">
        <x:v>290</x:v>
      </x:c>
      <x:c r="D3" t="n">
        <x:v>266</x:v>
      </x:c>
      <x:c r="E3" s="22" t="n">
        <x:v>37.2</x:v>
      </x:c>
      <x:c r="F3" t="n">
        <x:v>0</x:v>
      </x:c>
      <x:c r="G3" s="14" t="n">
        <x:v>0</x:v>
      </x:c>
      <x:c r="H3" s="18" t="n">
        <x:v>0</x:v>
      </x:c>
    </x:row>
    <x:row r="4">
      <x:c r="A4" t="str">
        <x:v>/contact</x:v>
      </x:c>
      <x:c r="B4" t="n">
        <x:v>150</x:v>
      </x:c>
      <x:c r="C4" t="n">
        <x:v>143</x:v>
      </x:c>
      <x:c r="D4" t="n">
        <x:v>130</x:v>
      </x:c>
      <x:c r="E4" s="22" t="n">
        <x:v>72.1</x:v>
      </x:c>
      <x:c r="F4" t="n">
        <x:v>0</x:v>
      </x:c>
      <x:c r="G4" s="14" t="n">
        <x:v>0</x:v>
      </x:c>
      <x:c r="H4" s="18" t="n">
        <x:v>0</x:v>
      </x:c>
    </x:row>
    <x:row r="5">
      <x:c r="A5" t="str">
        <x:v>/</x:v>
      </x:c>
      <x:c r="B5" t="n">
        <x:v>120</x:v>
      </x:c>
      <x:c r="C5" t="n">
        <x:v>112</x:v>
      </x:c>
      <x:c r="D5" t="n">
        <x:v>100</x:v>
      </x:c>
      <x:c r="E5" s="22" t="n">
        <x:v>38.7</x:v>
      </x:c>
      <x:c r="F5" t="n">
        <x:v>0</x:v>
      </x:c>
      <x:c r="G5" s="14" t="n">
        <x:v>0</x:v>
      </x:c>
      <x:c r="H5" s="1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84ece0bf9a4e4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12" hidden="0" customWidth="1"/>
    <x:col min="4" max="4" width="11" hidden="0" customWidth="1"/>
    <x:col min="5" max="5" width="22" hidden="0" customWidth="1"/>
    <x:col min="6" max="6" width="11" hidden="0" customWidth="1"/>
    <x:col min="7" max="7" width="14" hidden="0" customWidth="1"/>
    <x:col min="8" max="8" width="20" hidden="0" customWidth="1"/>
  </x:cols>
  <x:sheetData>
    <x:row r="1">
      <x:c r="A1" s="6" t="str">
        <x:v>Landing Page</x:v>
      </x:c>
      <x:c r="B1" s="6" t="str">
        <x:v>Sessions</x:v>
      </x:c>
      <x:c r="C1" s="6" t="str">
        <x:v>Active Users</x:v>
      </x:c>
      <x:c r="D1" s="6" t="str">
        <x:v>New Users</x:v>
      </x:c>
      <x:c r="E1" s="6" t="str">
        <x:v>Avg Engagement Time / Session</x:v>
      </x:c>
      <x:c r="F1" s="6" t="str">
        <x:v>Key Events</x:v>
      </x:c>
      <x:c r="G1" s="6" t="str">
        <x:v>Total Revenue</x:v>
      </x:c>
      <x:c r="H1" s="6" t="str">
        <x:v>Session Key Event Rate</x:v>
      </x:c>
    </x:row>
    <x:row r="2">
      <x:c r="A2" t="str">
        <x:v>/hvac-repair</x:v>
      </x:c>
      <x:c r="B2" t="n">
        <x:v>545</x:v>
      </x:c>
      <x:c r="C2" t="n">
        <x:v>510</x:v>
      </x:c>
      <x:c r="D2" t="n">
        <x:v>480</x:v>
      </x:c>
      <x:c r="E2" s="22" t="n">
        <x:v>45.4</x:v>
      </x:c>
      <x:c r="F2" t="n">
        <x:v>0</x:v>
      </x:c>
      <x:c r="G2" s="14" t="n">
        <x:v>0</x:v>
      </x:c>
      <x:c r="H2" s="18" t="n">
        <x:v>0</x:v>
      </x:c>
    </x:row>
    <x:row r="3">
      <x:c r="A3" t="str">
        <x:v>/plumbing</x:v>
      </x:c>
      <x:c r="B3" t="n">
        <x:v>285</x:v>
      </x:c>
      <x:c r="C3" t="n">
        <x:v>266</x:v>
      </x:c>
      <x:c r="D3" t="n">
        <x:v>244</x:v>
      </x:c>
      <x:c r="E3" s="22" t="n">
        <x:v>37.2</x:v>
      </x:c>
      <x:c r="F3" t="n">
        <x:v>0</x:v>
      </x:c>
      <x:c r="G3" s="14" t="n">
        <x:v>0</x:v>
      </x:c>
      <x:c r="H3" s="18" t="n">
        <x:v>0</x:v>
      </x:c>
    </x:row>
    <x:row r="4">
      <x:c r="A4" t="str">
        <x:v>/contact</x:v>
      </x:c>
      <x:c r="B4" t="n">
        <x:v>132</x:v>
      </x:c>
      <x:c r="C4" t="n">
        <x:v>126</x:v>
      </x:c>
      <x:c r="D4" t="n">
        <x:v>116</x:v>
      </x:c>
      <x:c r="E4" s="22" t="n">
        <x:v>72.1</x:v>
      </x:c>
      <x:c r="F4" t="n">
        <x:v>0</x:v>
      </x:c>
      <x:c r="G4" s="14" t="n">
        <x:v>0</x:v>
      </x:c>
      <x:c r="H4" s="18" t="n">
        <x:v>0</x:v>
      </x:c>
    </x:row>
    <x:row r="5">
      <x:c r="A5" t="str">
        <x:v>/</x:v>
      </x:c>
      <x:c r="B5" t="n">
        <x:v>123</x:v>
      </x:c>
      <x:c r="C5" t="n">
        <x:v>114</x:v>
      </x:c>
      <x:c r="D5" t="n">
        <x:v>104</x:v>
      </x:c>
      <x:c r="E5" s="22" t="n">
        <x:v>38.7</x:v>
      </x:c>
      <x:c r="F5" t="n">
        <x:v>0</x:v>
      </x:c>
      <x:c r="G5" s="14" t="n">
        <x:v>0</x:v>
      </x:c>
      <x:c r="H5" s="1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987cbf544146b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2" hidden="0" customWidth="1"/>
    <x:col min="3" max="3" width="14" hidden="0" customWidth="1"/>
    <x:col min="4" max="4" width="58" hidden="0" customWidth="1"/>
  </x:cols>
  <x:sheetData>
    <x:row r="1" ht="28" customHeight="1">
      <x:c r="A1" s="27" t="str">
        <x:v>Conversion Configuration - Fictional Sample</x:v>
      </x:c>
      <x:c r="B1" s="27"/>
      <x:c r="C1" s="27"/>
      <x:c r="D1" s="27"/>
    </x:row>
    <x:row r="3">
      <x:c r="A3" s="132" t="str">
        <x:v>Field</x:v>
      </x:c>
      <x:c r="B3" s="134" t="str">
        <x:v>Observed value</x:v>
      </x:c>
    </x:row>
    <x:row r="4">
      <x:c r="A4" s="100" t="str">
        <x:v>Conversion action</x:v>
      </x:c>
      <x:c r="B4" s="101" t="str">
        <x:v>Page view</x:v>
      </x:c>
    </x:row>
    <x:row r="5">
      <x:c r="A5" s="100" t="str">
        <x:v>Conversion source</x:v>
      </x:c>
      <x:c r="B5" s="101" t="str">
        <x:v>Website</x:v>
      </x:c>
    </x:row>
    <x:row r="6">
      <x:c r="A6" s="100" t="str">
        <x:v>Tracking status</x:v>
      </x:c>
      <x:c r="B6" s="101" t="str">
        <x:v>Active</x:v>
      </x:c>
    </x:row>
    <x:row r="7">
      <x:c r="A7" s="100" t="str">
        <x:v>Action optimization</x:v>
      </x:c>
      <x:c r="B7" s="101" t="str">
        <x:v>Primary</x:v>
      </x:c>
    </x:row>
    <x:row r="8">
      <x:c r="A8" s="100" t="str">
        <x:v>Count</x:v>
      </x:c>
      <x:c r="B8" s="101" t="str">
        <x:v>Every</x:v>
      </x:c>
    </x:row>
    <x:row r="9">
      <x:c r="A9" s="100" t="str">
        <x:v>Click-through conversion window</x:v>
      </x:c>
      <x:c r="B9" s="101" t="str">
        <x:v>30 days</x:v>
      </x:c>
    </x:row>
    <x:row r="10">
      <x:c r="A10" s="100" t="str">
        <x:v>Included in account-level goals</x:v>
      </x:c>
      <x:c r="B10" s="101" t="str">
        <x:v>Yes</x:v>
      </x:c>
    </x:row>
    <x:row r="11">
      <x:c r="A11" s="100" t="str">
        <x:v>All conversions</x:v>
      </x:c>
      <x:c r="B11" s="152" t="n">
        <x:v>1188</x:v>
      </x:c>
    </x:row>
    <x:row r="12">
      <x:c r="A12" s="100" t="str">
        <x:v>All conversion value</x:v>
      </x:c>
      <x:c r="B12" s="152" t="n">
        <x:v>1188</x:v>
      </x:c>
    </x:row>
    <x:row r="13">
      <x:c r="A13" s="105" t="str">
        <x:v>Last seen</x:v>
      </x:c>
      <x:c r="B13" s="153" t="n">
        <x:v>46233</x:v>
      </x:c>
    </x:row>
    <x:row r="15">
      <x:c r="A15" s="132" t="str">
        <x:v>Check</x:v>
      </x:c>
      <x:c r="B15" s="133" t="str">
        <x:v>Observed</x:v>
      </x:c>
      <x:c r="C15" s="133" t="str">
        <x:v>Status</x:v>
      </x:c>
      <x:c r="D15" s="134" t="str">
        <x:v>Interpretation</x:v>
      </x:c>
    </x:row>
    <x:row r="16">
      <x:c r="A16" s="117" t="str">
        <x:v>Meaningful primary conversion</x:v>
      </x:c>
      <x:c r="B16" s="50" t="str">
        <x:v>Page view</x:v>
      </x:c>
      <x:c r="C16" s="51" t="str">
        <x:v>FAIL</x:v>
      </x:c>
      <x:c r="D16" s="136" t="str">
        <x:v>Page views are visits, not qualified estimate requests.</x:v>
      </x:c>
    </x:row>
    <x:row r="17">
      <x:c r="A17" s="117" t="str">
        <x:v>Primary/Secondary configuration</x:v>
      </x:c>
      <x:c r="B17" s="50" t="str">
        <x:v>Primary</x:v>
      </x:c>
      <x:c r="C17" s="52" t="str">
        <x:v>WARNING</x:v>
      </x:c>
      <x:c r="D17" s="136" t="str">
        <x:v>Automated bidding may optimize toward page views.</x:v>
      </x:c>
    </x:row>
    <x:row r="18">
      <x:c r="A18" s="117" t="str">
        <x:v>Included in account-level goals</x:v>
      </x:c>
      <x:c r="B18" s="50" t="str">
        <x:v>Yes</x:v>
      </x:c>
      <x:c r="C18" s="52" t="str">
        <x:v>WARNING</x:v>
      </x:c>
      <x:c r="D18" s="136" t="str">
        <x:v>Campaigns using account-default goals can use this signal.</x:v>
      </x:c>
    </x:row>
    <x:row r="19">
      <x:c r="A19" s="121" t="str">
        <x:v>Tracking status</x:v>
      </x:c>
      <x:c r="B19" s="122" t="str">
        <x:v>Active</x:v>
      </x:c>
      <x:c r="C19" s="156" t="str">
        <x:v>OK</x:v>
      </x:c>
      <x:c r="D19" s="141" t="str">
        <x:v>The tag is detected, but the action definition is not a meaningful outcome.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2" hidden="0" customWidth="1"/>
  </x:cols>
  <x:sheetData>
    <x:row r="1" ht="28" customHeight="1">
      <x:c r="A1" s="27" t="str">
        <x:v>How to Use This Sample Workbook</x:v>
      </x:c>
      <x:c r="B1" s="27"/>
      <x:c r="C1" s="27"/>
      <x:c r="D1" s="27"/>
      <x:c r="E1" s="27"/>
      <x:c r="F1" s="27"/>
    </x:row>
    <x:row r="3">
      <x:c r="A3" s="132" t="str">
        <x:v>Item</x:v>
      </x:c>
      <x:c r="B3" s="134" t="str">
        <x:v>Details</x:v>
      </x:c>
    </x:row>
    <x:row r="4">
      <x:c r="A4" s="135" t="str">
        <x:v>Purpose</x:v>
      </x:c>
      <x:c r="B4" s="136" t="str">
        <x:v>Example of the calculated_metrics.xlsx file created by a file-capable AI assistant.</x:v>
      </x:c>
    </x:row>
    <x:row r="5">
      <x:c r="A5" s="135" t="str">
        <x:v>Data</x:v>
      </x:c>
      <x:c r="B5" s="136" t="str">
        <x:v>All account names, dates, and values are fictional sample data.</x:v>
      </x:c>
    </x:row>
    <x:row r="6">
      <x:c r="A6" s="135" t="str">
        <x:v>Workflow</x:v>
      </x:c>
      <x:c r="B6" s="136" t="str">
        <x:v>Upload the required CSVs, conversion screenshot, and business context; then run the workbook-generation prompt.</x:v>
      </x:c>
    </x:row>
    <x:row r="7">
      <x:c r="A7" s="135" t="str">
        <x:v>Arithmetic source of truth</x:v>
      </x:c>
      <x:c r="B7" s="136" t="str">
        <x:v>Use the formulas in Calculated Metrics for totals and period comparisons.</x:v>
      </x:c>
    </x:row>
    <x:row r="8">
      <x:c r="A8" s="135" t="str">
        <x:v>Stop condition</x:v>
      </x:c>
      <x:c r="B8" s="136" t="str">
        <x:v>When meaningful conversion tracking is missing or inconsistent, report MEASUREMENT REVIEW FIRST.</x:v>
      </x:c>
    </x:row>
    <x:row r="9">
      <x:c r="A9" s="135" t="str">
        <x:v>Do not infer</x:v>
      </x:c>
      <x:c r="B9" s="136" t="str">
        <x:v>Do not infer profitability from placeholder conversion values or page-view conversions.</x:v>
      </x:c>
    </x:row>
    <x:row r="10">
      <x:c r="A10" s="135" t="str">
        <x:v>Current Ads data</x:v>
      </x:c>
      <x:c r="B10" s="136" t="str">
        <x:v>Ads Current</x:v>
      </x:c>
    </x:row>
    <x:row r="11">
      <x:c r="A11" s="135" t="str">
        <x:v>Previous Ads data</x:v>
      </x:c>
      <x:c r="B11" s="136" t="str">
        <x:v>Ads Previous</x:v>
      </x:c>
    </x:row>
    <x:row r="12">
      <x:c r="A12" s="137" t="str">
        <x:v>Outputs</x:v>
      </x:c>
      <x:c r="B12" s="141" t="str">
        <x:v>Dashboard, data-quality status, period comparison, and prioritized next steps.</x:v>
      </x:c>
    </x:row>
    <x:row r="15">
      <x:c r="A15" s="132" t="str">
        <x:v>Official reference</x:v>
      </x:c>
      <x:c r="B15" s="134" t="str">
        <x:v>URL</x:v>
      </x:c>
    </x:row>
    <x:row r="16">
      <x:c r="A16" s="135" t="str">
        <x:v>Primary and secondary conversion actions</x:v>
      </x:c>
      <x:c r="B16" s="136" t="str">
        <x:v>https://support.google.com/google-ads/answer/11461796</x:v>
      </x:c>
    </x:row>
    <x:row r="17">
      <x:c r="A17" s="135" t="str">
        <x:v>Conversion summary and account-default goals</x:v>
      </x:c>
      <x:c r="B17" s="136" t="str">
        <x:v>https://support.google.com/google-ads/answer/10993988</x:v>
      </x:c>
    </x:row>
    <x:row r="18">
      <x:c r="A18" s="135" t="str">
        <x:v>Google Ads statistics table downloads</x:v>
      </x:c>
      <x:c r="B18" s="136" t="str">
        <x:v>https://support.google.com/google-ads/answer/2404176</x:v>
      </x:c>
    </x:row>
    <x:row r="19">
      <x:c r="A19" s="135" t="str">
        <x:v>GA4 Traffic acquisition report</x:v>
      </x:c>
      <x:c r="B19" s="136" t="str">
        <x:v>https://support.google.com/analytics/answer/12923437</x:v>
      </x:c>
    </x:row>
    <x:row r="20">
      <x:c r="A20" s="137" t="str">
        <x:v>GA4 report exports</x:v>
      </x:c>
      <x:c r="B20" s="141" t="str">
        <x:v>https://support.google.com/analytics/answer/9317657</x:v>
      </x:c>
    </x:row>
  </x:sheetData>
  <x:mergeCells>
    <x:mergeCell ref="A1:F1"/>
  </x:mergeCells>
  <x:pageMargins left="0.7" right="0.7" top="0.75" bottom="0.75" header="0.3" footer="0.3"/>
</x:worksheet>
</file>